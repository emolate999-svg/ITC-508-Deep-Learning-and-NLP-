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1_{43030CFA-2F30-4E46-9261-1D84A17E38A0}" xr6:coauthVersionLast="47" xr6:coauthVersionMax="47" xr10:uidLastSave="{00000000-0000-0000-0000-000000000000}"/>
  <bookViews>
    <workbookView xWindow="-120" yWindow="-120" windowWidth="29040" windowHeight="15720" xr2:uid="{9FA68366-FD87-4D56-8A58-7EB78D32B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K54" i="1"/>
  <c r="I54" i="1"/>
  <c r="H54" i="1"/>
  <c r="G54" i="1"/>
  <c r="F54" i="1"/>
  <c r="F6" i="1"/>
  <c r="F8" i="1" s="1"/>
  <c r="F10" i="1" s="1"/>
  <c r="G6" i="1"/>
  <c r="G8" i="1" s="1"/>
  <c r="G10" i="1" s="1"/>
  <c r="H6" i="1"/>
  <c r="H8" i="1" s="1"/>
  <c r="H10" i="1" s="1"/>
  <c r="I6" i="1"/>
  <c r="I8" i="1" s="1"/>
  <c r="I10" i="1" s="1"/>
  <c r="J6" i="1"/>
  <c r="J8" i="1" s="1"/>
  <c r="J10" i="1" s="1"/>
  <c r="K6" i="1"/>
  <c r="K8" i="1" s="1"/>
  <c r="K10" i="1" s="1"/>
  <c r="L6" i="1"/>
  <c r="L8" i="1" s="1"/>
  <c r="L10" i="1" s="1"/>
  <c r="M6" i="1"/>
  <c r="M8" i="1" s="1"/>
  <c r="M10" i="1" s="1"/>
</calcChain>
</file>

<file path=xl/sharedStrings.xml><?xml version="1.0" encoding="utf-8"?>
<sst xmlns="http://schemas.openxmlformats.org/spreadsheetml/2006/main" count="776" uniqueCount="156">
  <si>
    <t>Member</t>
  </si>
  <si>
    <t>Model Description</t>
  </si>
  <si>
    <t>Model</t>
  </si>
  <si>
    <t>Hyperparameter #1</t>
  </si>
  <si>
    <t>Hyperparameter #2</t>
  </si>
  <si>
    <t>Hyperparameter #3</t>
  </si>
  <si>
    <t>Hyperparameter #4</t>
  </si>
  <si>
    <t>Hyperparameter #5</t>
  </si>
  <si>
    <t>Hyperparameter #6</t>
  </si>
  <si>
    <t>Hyperparameter #7</t>
  </si>
  <si>
    <t>Hyperparameter #8</t>
  </si>
  <si>
    <t>Hyperparameter #9</t>
  </si>
  <si>
    <t>Notes</t>
  </si>
  <si>
    <t>Experiment No.</t>
  </si>
  <si>
    <t>eval_loss</t>
  </si>
  <si>
    <t>eval_model_preparation_time</t>
  </si>
  <si>
    <t>eval_rouge1</t>
  </si>
  <si>
    <t>eval_rouge2</t>
  </si>
  <si>
    <t>eval_rougeL</t>
  </si>
  <si>
    <t>eval_rougeLsum</t>
  </si>
  <si>
    <t>eval_avg_readability</t>
  </si>
  <si>
    <t>eval_avg_length</t>
  </si>
  <si>
    <t>eval_runtime</t>
  </si>
  <si>
    <t>eval_samples_per_second</t>
  </si>
  <si>
    <t>eval_steps_per_second</t>
  </si>
  <si>
    <t>Hyperparameters</t>
  </si>
  <si>
    <t>Evaluation Results</t>
  </si>
  <si>
    <t>Core Model</t>
  </si>
  <si>
    <t>#1</t>
  </si>
  <si>
    <t>#2</t>
  </si>
  <si>
    <t>#3</t>
  </si>
  <si>
    <t>#4</t>
  </si>
  <si>
    <t>#5</t>
  </si>
  <si>
    <t>google-t5/t5-small</t>
  </si>
  <si>
    <t>train_batch_size = 8</t>
  </si>
  <si>
    <t>eval_batch_size = 8</t>
  </si>
  <si>
    <t>num_train_epochs = 2</t>
  </si>
  <si>
    <t>warmup_steps = 500</t>
  </si>
  <si>
    <t>logging_steps = 50</t>
  </si>
  <si>
    <t>generation_max_length = 128</t>
  </si>
  <si>
    <t>gradient_accumulation_steps = 2</t>
  </si>
  <si>
    <t>Baseline Model</t>
  </si>
  <si>
    <t>#6</t>
  </si>
  <si>
    <t>#7</t>
  </si>
  <si>
    <t>#8</t>
  </si>
  <si>
    <t>#9</t>
  </si>
  <si>
    <t>#10</t>
  </si>
  <si>
    <t>facebook/bart-base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</si>
  <si>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</si>
  <si>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</si>
  <si>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</si>
  <si>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</si>
  <si>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</si>
  <si>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</si>
  <si>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</si>
  <si>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</si>
  <si>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</si>
  <si>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</si>
  <si>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</si>
  <si>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</si>
  <si>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</si>
  <si>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</si>
  <si>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</si>
  <si>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</si>
  <si>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</si>
  <si>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</si>
  <si>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</si>
  <si>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</si>
  <si>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Erson C. Molate</t>
  </si>
  <si>
    <t xml:space="preserve">learning_rate = 1e-6  </t>
  </si>
  <si>
    <t>weight_decay = 0.0</t>
  </si>
  <si>
    <t xml:space="preserve">learning_rate = 2e-6  </t>
  </si>
  <si>
    <t xml:space="preserve">learning_rate = 5e-6  </t>
  </si>
  <si>
    <t>learning_rate =1e-5</t>
  </si>
  <si>
    <t>learning_rate =2e-5</t>
  </si>
  <si>
    <t>learning_rate =3e-5</t>
  </si>
  <si>
    <t>learning_rate =5e-5</t>
  </si>
  <si>
    <t>learning_rate =7e-5</t>
  </si>
  <si>
    <t>learning_rate =1e-4</t>
  </si>
  <si>
    <t>learning_rate =2e-4</t>
  </si>
  <si>
    <t>learning_rate =1e-6</t>
  </si>
  <si>
    <t>weight_decay = 0.005</t>
  </si>
  <si>
    <t>weight_decay = 0.01</t>
  </si>
  <si>
    <t>weight_decay = 0.05</t>
  </si>
  <si>
    <t xml:space="preserve">learning_rate =1e-6  </t>
  </si>
  <si>
    <t>weight_decay = 0.15</t>
  </si>
  <si>
    <t>weight_decay = 0.30</t>
  </si>
  <si>
    <t>weight_decay = 0.45</t>
  </si>
  <si>
    <t>weight_decay = 0.60</t>
  </si>
  <si>
    <t>weight_decay = 0.90</t>
  </si>
  <si>
    <t>weight_decay = 0.95</t>
  </si>
  <si>
    <t>weight_decay = 0.80</t>
  </si>
  <si>
    <t>weight_decay = 0.00</t>
  </si>
  <si>
    <t>warmup_steps = 0</t>
  </si>
  <si>
    <t>warmup_steps = 100</t>
  </si>
  <si>
    <t>warmup_steps = 200</t>
  </si>
  <si>
    <t>warmup_steps = 300</t>
  </si>
  <si>
    <t>warmup_steps = 400</t>
  </si>
  <si>
    <t>warmup_steps = 700</t>
  </si>
  <si>
    <t>warmup_steps = 1000</t>
  </si>
  <si>
    <t>warmup_steps = 1200</t>
  </si>
  <si>
    <t>warmup_steps = 1500</t>
  </si>
  <si>
    <t>logging_steps =50</t>
  </si>
  <si>
    <t>weight_decay = 0.02</t>
  </si>
  <si>
    <t>Performed well, near its peak.</t>
  </si>
  <si>
    <t>Strong start, achieved its highest ROUGE-Lsum.</t>
  </si>
  <si>
    <t>Solid, stable performance.</t>
  </si>
  <si>
    <t>Excellent results, very close to the peak</t>
  </si>
  <si>
    <t>Performance remained stable.</t>
  </si>
  <si>
    <t>good, consistent scores.</t>
  </si>
  <si>
    <t>Scores are still consistent.</t>
  </si>
  <si>
    <t>A slight dip in performance</t>
  </si>
  <si>
    <t>Remains stable.</t>
  </si>
  <si>
    <t>Performance is strong, similar to the 2e-6 experiment</t>
  </si>
  <si>
    <t xml:space="preserve"> Reached its peak performance in this experiment as well.</t>
  </si>
  <si>
    <t>Achieved its highest ROUGE-1, ROUGE-2, and ROUGE-L.</t>
  </si>
  <si>
    <t>A very slight dip in scores.</t>
  </si>
  <si>
    <t>A noticeable drop after the peak.</t>
  </si>
  <si>
    <t>Still stable, showing little change.</t>
  </si>
  <si>
    <t xml:space="preserve">Continued decline. </t>
  </si>
  <si>
    <t>Remains consistent.</t>
  </si>
  <si>
    <t>Performance continues to degrade.</t>
  </si>
  <si>
    <t>A slight drop but still relatively stable.</t>
  </si>
  <si>
    <t>The worst performance, as the learning rate is too high.</t>
  </si>
  <si>
    <t>No change in performance.</t>
  </si>
  <si>
    <t>This small value provided a significant boost, leading to the best scores in this se</t>
  </si>
  <si>
    <t>No change.</t>
  </si>
  <si>
    <t>A clear drop in performance.</t>
  </si>
  <si>
    <t xml:space="preserve">Continued decline as regularization becomes too strong. </t>
  </si>
  <si>
    <t xml:space="preserve"> Performance continues to degrade. B</t>
  </si>
  <si>
    <t xml:space="preserve">Scores are getting progressively worse. </t>
  </si>
  <si>
    <t>The negative impact of high weight decay is very apparent.</t>
  </si>
  <si>
    <t>Performance is poor. B</t>
  </si>
  <si>
    <t>Very poor results</t>
  </si>
  <si>
    <t>Nearing the worst scores</t>
  </si>
  <si>
    <t xml:space="preserve">The worst performance; too much regularization is highly detrimental. </t>
  </si>
  <si>
    <t>Still no change.</t>
  </si>
  <si>
    <t>Also its lowest score, showing a warmup is needed</t>
  </si>
  <si>
    <t>Decent scores, but the lowest in this set.</t>
  </si>
  <si>
    <t>A similar jump in performance.</t>
  </si>
  <si>
    <t>A significant improvement over no warmup.</t>
  </si>
  <si>
    <t>Continued to improve.</t>
  </si>
  <si>
    <t>Achieved its peak performance here</t>
  </si>
  <si>
    <t>Still improving.</t>
  </si>
  <si>
    <t xml:space="preserve">A slight dip in performance after its peak. </t>
  </si>
  <si>
    <t>A continued, steady decline.</t>
  </si>
  <si>
    <t>Reached its peak performance here, showing t5-small benefits from a longer warmup.</t>
  </si>
  <si>
    <t>The model's performance continues to fall</t>
  </si>
  <si>
    <t>A slight dip after its peak.</t>
  </si>
  <si>
    <t xml:space="preserve">A longer warmup period continues to hurt performance. </t>
  </si>
  <si>
    <t>Performance starts to decline more.</t>
  </si>
  <si>
    <t xml:space="preserve"> Significantly worse scores.</t>
  </si>
  <si>
    <t>Also declining.</t>
  </si>
  <si>
    <t xml:space="preserve">Further decline. </t>
  </si>
  <si>
    <t xml:space="preserve"> Its second-worst performer, confirming an excessively long warmup is detrimental for both.</t>
  </si>
  <si>
    <t xml:space="preserve">The worst performer in this set.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</si>
</sst>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3" fillId="3" borderId="5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1" fillId="2" borderId="2" xfId="1" applyBorder="1"/>
    <xf numFmtId="0" fontId="0" fillId="0" borderId="2" xfId="0" applyBorder="1" applyAlignment="1">
      <alignment wrapText="1"/>
    </xf>
    <xf numFmtId="0" fontId="1" fillId="2" borderId="2" xfId="1" applyBorder="1" applyAlignment="1">
      <alignment wrapText="1"/>
    </xf>
    <xf numFmtId="0" fontId="0" fillId="0" borderId="0" xfId="0" applyAlignment="1">
      <alignment wrapText="1"/>
    </xf>
    <xf numFmtId="0" fontId="4" fillId="4" borderId="4" xfId="3" applyBorder="1"/>
    <xf numFmtId="0" fontId="4" fillId="4" borderId="2" xfId="3" applyBorder="1"/>
    <xf numFmtId="0" fontId="4" fillId="4" borderId="2" xfId="3" applyBorder="1" applyAlignment="1">
      <alignment wrapText="1"/>
    </xf>
    <xf numFmtId="0" fontId="4" fillId="5" borderId="2" xfId="4" applyBorder="1"/>
    <xf numFmtId="0" fontId="4" fillId="5" borderId="2" xfId="4" applyBorder="1" applyAlignment="1">
      <alignment wrapText="1"/>
    </xf>
    <xf numFmtId="0" fontId="4" fillId="4" borderId="0" xfId="3"/>
    <xf numFmtId="0" fontId="4" fillId="5" borderId="0" xfId="4"/>
    <xf numFmtId="0" fontId="5" fillId="6" borderId="2" xfId="5" applyBorder="1"/>
    <xf numFmtId="0" fontId="5" fillId="6" borderId="0" xfId="5"/>
    <xf numFmtId="0" fontId="4" fillId="5" borderId="4" xfId="4" applyBorder="1"/>
    <xf numFmtId="11" fontId="4" fillId="4" borderId="4" xfId="3" applyNumberFormat="1" applyBorder="1"/>
    <xf numFmtId="0" fontId="4" fillId="5" borderId="11" xfId="4" applyBorder="1"/>
    <xf numFmtId="11" fontId="4" fillId="5" borderId="4" xfId="4" applyNumberForma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8" xfId="2" applyBorder="1" applyAlignment="1">
      <alignment horizontal="center" vertical="center"/>
    </xf>
  </cellXfs>
  <cellStyles count="6">
    <cellStyle name="20% - Accent1" xfId="3" builtinId="30"/>
    <cellStyle name="20% - Accent2" xfId="4" builtinId="34"/>
    <cellStyle name="Check Cell" xfId="1" builtinId="23"/>
    <cellStyle name="Good" xfId="5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8FBD-93B4-401A-9C02-1BD44594B386}">
  <dimension ref="A1:BK62"/>
  <sheetViews>
    <sheetView tabSelected="1" topLeftCell="Q18" zoomScale="85" zoomScaleNormal="85" workbookViewId="0">
      <selection activeCell="Z61" sqref="Z61"/>
    </sheetView>
  </sheetViews>
  <sheetFormatPr defaultColWidth="29" defaultRowHeight="15" x14ac:dyDescent="0.25"/>
  <cols>
    <col min="13" max="13" width="33.5703125" bestFit="1" customWidth="1"/>
    <col min="25" max="25" width="44.5703125" style="5" bestFit="1" customWidth="1"/>
  </cols>
  <sheetData>
    <row r="1" spans="1:45" ht="25.15" customHeight="1" x14ac:dyDescent="0.25">
      <c r="A1" s="1"/>
      <c r="B1" s="1"/>
      <c r="C1" s="1"/>
      <c r="D1" s="1"/>
      <c r="E1" s="21" t="s">
        <v>25</v>
      </c>
      <c r="F1" s="22"/>
      <c r="G1" s="22"/>
      <c r="H1" s="22"/>
      <c r="I1" s="22"/>
      <c r="J1" s="22"/>
      <c r="K1" s="22"/>
      <c r="L1" s="22"/>
      <c r="M1" s="23"/>
      <c r="N1" s="24" t="s">
        <v>26</v>
      </c>
      <c r="O1" s="22"/>
      <c r="P1" s="22"/>
      <c r="Q1" s="22"/>
      <c r="R1" s="22"/>
      <c r="S1" s="22"/>
      <c r="T1" s="22"/>
      <c r="U1" s="22"/>
      <c r="V1" s="22"/>
      <c r="W1" s="22"/>
      <c r="X1" s="25"/>
      <c r="Y1" s="3"/>
    </row>
    <row r="2" spans="1:45" x14ac:dyDescent="0.25">
      <c r="A2" s="2" t="s">
        <v>0</v>
      </c>
      <c r="B2" s="2" t="s">
        <v>13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4" t="s">
        <v>12</v>
      </c>
    </row>
    <row r="3" spans="1:45" x14ac:dyDescent="0.25">
      <c r="A3" s="19" t="s">
        <v>68</v>
      </c>
      <c r="B3" s="19" t="s">
        <v>28</v>
      </c>
      <c r="C3" s="7" t="s">
        <v>41</v>
      </c>
      <c r="D3" s="7" t="s">
        <v>33</v>
      </c>
      <c r="E3" s="16" t="s">
        <v>75</v>
      </c>
      <c r="F3" s="6" t="s">
        <v>34</v>
      </c>
      <c r="G3" s="6" t="s">
        <v>35</v>
      </c>
      <c r="H3" s="6" t="s">
        <v>36</v>
      </c>
      <c r="I3" s="6" t="s">
        <v>70</v>
      </c>
      <c r="J3" s="6" t="s">
        <v>37</v>
      </c>
      <c r="K3" s="6" t="s">
        <v>38</v>
      </c>
      <c r="L3" s="6" t="s">
        <v>39</v>
      </c>
      <c r="M3" s="6" t="s">
        <v>40</v>
      </c>
      <c r="N3" s="7">
        <v>2.0434000000000001</v>
      </c>
      <c r="O3" s="7">
        <v>2.8E-3</v>
      </c>
      <c r="P3" s="7">
        <v>31.11</v>
      </c>
      <c r="Q3" s="7">
        <v>13.0982</v>
      </c>
      <c r="R3" s="7">
        <v>28.349599999999999</v>
      </c>
      <c r="S3" s="7">
        <v>28.328399999999998</v>
      </c>
      <c r="T3" s="7">
        <v>56.21</v>
      </c>
      <c r="U3" s="7">
        <v>10.39</v>
      </c>
      <c r="V3" s="7">
        <v>68.069599999999994</v>
      </c>
      <c r="W3" s="7">
        <v>10.225</v>
      </c>
      <c r="X3" s="7">
        <v>2.556</v>
      </c>
      <c r="Y3" s="7" t="s">
        <v>104</v>
      </c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1:45" x14ac:dyDescent="0.25">
      <c r="A4" s="20"/>
      <c r="B4" s="20"/>
      <c r="C4" s="9" t="s">
        <v>27</v>
      </c>
      <c r="D4" s="9" t="s">
        <v>47</v>
      </c>
      <c r="E4" s="15" t="s">
        <v>69</v>
      </c>
      <c r="F4" s="15" t="s">
        <v>34</v>
      </c>
      <c r="G4" s="15" t="s">
        <v>35</v>
      </c>
      <c r="H4" s="15" t="s">
        <v>36</v>
      </c>
      <c r="I4" s="15" t="s">
        <v>103</v>
      </c>
      <c r="J4" s="15" t="s">
        <v>37</v>
      </c>
      <c r="K4" s="15" t="s">
        <v>38</v>
      </c>
      <c r="L4" s="15" t="s">
        <v>39</v>
      </c>
      <c r="M4" s="15" t="s">
        <v>40</v>
      </c>
      <c r="N4" s="9">
        <v>1.9581</v>
      </c>
      <c r="O4" s="9">
        <v>4.7999999999999996E-3</v>
      </c>
      <c r="P4" s="9">
        <v>38.948999999999998</v>
      </c>
      <c r="Q4" s="9">
        <v>19.848400000000002</v>
      </c>
      <c r="R4" s="12">
        <v>35.671900000000001</v>
      </c>
      <c r="S4" s="12">
        <v>35.626600000000003</v>
      </c>
      <c r="T4" s="12">
        <v>57.17</v>
      </c>
      <c r="U4" s="12">
        <v>10.08</v>
      </c>
      <c r="V4" s="9">
        <v>88.746399999999994</v>
      </c>
      <c r="W4" s="9">
        <v>8.0679999999999996</v>
      </c>
      <c r="X4" s="9">
        <v>2.0169999999999999</v>
      </c>
      <c r="Y4" s="10" t="s">
        <v>105</v>
      </c>
    </row>
    <row r="5" spans="1:45" x14ac:dyDescent="0.25">
      <c r="A5" s="19" t="s">
        <v>68</v>
      </c>
      <c r="B5" s="19" t="s">
        <v>29</v>
      </c>
      <c r="C5" s="6" t="s">
        <v>41</v>
      </c>
      <c r="D5" s="7" t="s">
        <v>33</v>
      </c>
      <c r="E5" s="6" t="s">
        <v>71</v>
      </c>
      <c r="F5" s="6" t="s">
        <v>34</v>
      </c>
      <c r="G5" s="6" t="s">
        <v>35</v>
      </c>
      <c r="H5" s="6" t="s">
        <v>36</v>
      </c>
      <c r="I5" s="6" t="s">
        <v>103</v>
      </c>
      <c r="J5" s="6" t="s">
        <v>37</v>
      </c>
      <c r="K5" s="6" t="s">
        <v>38</v>
      </c>
      <c r="L5" s="6" t="s">
        <v>39</v>
      </c>
      <c r="M5" s="6" t="s">
        <v>40</v>
      </c>
      <c r="N5" s="7">
        <v>2.63</v>
      </c>
      <c r="O5" s="7">
        <v>2.5000000000000001E-3</v>
      </c>
      <c r="P5" s="7">
        <v>27.218499999999999</v>
      </c>
      <c r="Q5" s="7">
        <v>10.335599999999999</v>
      </c>
      <c r="R5" s="7">
        <v>24.699100000000001</v>
      </c>
      <c r="S5" s="7">
        <v>24.662199999999999</v>
      </c>
      <c r="T5" s="7">
        <v>57.79</v>
      </c>
      <c r="U5" s="7">
        <v>11.6</v>
      </c>
      <c r="V5" s="7">
        <v>63.2864</v>
      </c>
      <c r="W5" s="9">
        <v>10.997999999999999</v>
      </c>
      <c r="X5" s="7">
        <v>2.7490000000000001</v>
      </c>
      <c r="Y5" s="8" t="s">
        <v>106</v>
      </c>
    </row>
    <row r="6" spans="1:45" x14ac:dyDescent="0.25">
      <c r="A6" s="20"/>
      <c r="B6" s="20"/>
      <c r="C6" s="9" t="s">
        <v>27</v>
      </c>
      <c r="D6" s="9" t="s">
        <v>47</v>
      </c>
      <c r="E6" s="17" t="s">
        <v>71</v>
      </c>
      <c r="F6" s="9" t="str">
        <f t="shared" ref="F6:M10" si="0">F4</f>
        <v>train_batch_size = 8</v>
      </c>
      <c r="G6" s="9" t="str">
        <f t="shared" si="0"/>
        <v>eval_batch_size = 8</v>
      </c>
      <c r="H6" s="9" t="str">
        <f t="shared" si="0"/>
        <v>num_train_epochs = 2</v>
      </c>
      <c r="I6" s="9" t="str">
        <f t="shared" si="0"/>
        <v>weight_decay = 0.02</v>
      </c>
      <c r="J6" s="9" t="str">
        <f t="shared" si="0"/>
        <v>warmup_steps = 500</v>
      </c>
      <c r="K6" s="9" t="str">
        <f t="shared" si="0"/>
        <v>logging_steps = 50</v>
      </c>
      <c r="L6" s="9" t="str">
        <f t="shared" si="0"/>
        <v>generation_max_length = 128</v>
      </c>
      <c r="M6" s="9" t="str">
        <f t="shared" si="0"/>
        <v>gradient_accumulation_steps = 2</v>
      </c>
      <c r="N6" s="9">
        <v>1.9386000000000001</v>
      </c>
      <c r="O6" s="9">
        <v>4.7000000000000002E-3</v>
      </c>
      <c r="P6" s="9">
        <v>39.612000000000002</v>
      </c>
      <c r="Q6" s="12">
        <v>19.4834</v>
      </c>
      <c r="R6" s="12">
        <v>35.826599999999999</v>
      </c>
      <c r="S6" s="9">
        <v>35.831699999999998</v>
      </c>
      <c r="T6" s="9">
        <v>53.61</v>
      </c>
      <c r="U6" s="9">
        <v>9.81</v>
      </c>
      <c r="V6" s="9">
        <v>90.231200000000001</v>
      </c>
      <c r="W6" s="12">
        <v>7.5810000000000004</v>
      </c>
      <c r="X6" s="9">
        <v>1.895</v>
      </c>
      <c r="Y6" s="10" t="s">
        <v>107</v>
      </c>
    </row>
    <row r="7" spans="1:45" x14ac:dyDescent="0.25">
      <c r="A7" s="19" t="s">
        <v>68</v>
      </c>
      <c r="B7" s="19" t="s">
        <v>30</v>
      </c>
      <c r="C7" s="6" t="s">
        <v>41</v>
      </c>
      <c r="D7" s="7" t="s">
        <v>33</v>
      </c>
      <c r="E7" s="6" t="s">
        <v>72</v>
      </c>
      <c r="F7" s="6" t="s">
        <v>34</v>
      </c>
      <c r="G7" s="6" t="s">
        <v>35</v>
      </c>
      <c r="H7" s="6" t="s">
        <v>36</v>
      </c>
      <c r="I7" s="6" t="s">
        <v>103</v>
      </c>
      <c r="J7" s="6" t="s">
        <v>37</v>
      </c>
      <c r="K7" s="6" t="s">
        <v>38</v>
      </c>
      <c r="L7" s="6" t="s">
        <v>39</v>
      </c>
      <c r="M7" s="6" t="s">
        <v>40</v>
      </c>
      <c r="N7" s="7">
        <v>2.5356000000000001</v>
      </c>
      <c r="O7" s="7">
        <v>4.4999999999999997E-3</v>
      </c>
      <c r="P7" s="7">
        <v>27.380700000000001</v>
      </c>
      <c r="Q7" s="7">
        <v>10.6067</v>
      </c>
      <c r="R7" s="7">
        <v>24.936</v>
      </c>
      <c r="S7" s="7">
        <v>24.9147</v>
      </c>
      <c r="T7" s="7">
        <v>57.69</v>
      </c>
      <c r="U7" s="7">
        <v>11.6</v>
      </c>
      <c r="V7" s="7">
        <v>63.884999999999998</v>
      </c>
      <c r="W7" s="7">
        <v>10.895</v>
      </c>
      <c r="X7" s="7">
        <v>2.7240000000000002</v>
      </c>
      <c r="Y7" s="8" t="s">
        <v>108</v>
      </c>
    </row>
    <row r="8" spans="1:45" x14ac:dyDescent="0.25">
      <c r="A8" s="20"/>
      <c r="B8" s="20"/>
      <c r="C8" s="9" t="s">
        <v>27</v>
      </c>
      <c r="D8" s="9" t="s">
        <v>47</v>
      </c>
      <c r="E8" s="17" t="s">
        <v>72</v>
      </c>
      <c r="F8" s="9" t="str">
        <f t="shared" si="0"/>
        <v>train_batch_size = 8</v>
      </c>
      <c r="G8" s="9" t="str">
        <f t="shared" si="0"/>
        <v>eval_batch_size = 8</v>
      </c>
      <c r="H8" s="9" t="str">
        <f t="shared" si="0"/>
        <v>num_train_epochs = 2</v>
      </c>
      <c r="I8" s="9" t="str">
        <f t="shared" si="0"/>
        <v>weight_decay = 0.02</v>
      </c>
      <c r="J8" s="9" t="str">
        <f t="shared" si="0"/>
        <v>warmup_steps = 500</v>
      </c>
      <c r="K8" s="9" t="str">
        <f t="shared" si="0"/>
        <v>logging_steps = 50</v>
      </c>
      <c r="L8" s="9" t="str">
        <f t="shared" si="0"/>
        <v>generation_max_length = 128</v>
      </c>
      <c r="M8" s="9" t="str">
        <f t="shared" si="0"/>
        <v>gradient_accumulation_steps = 2</v>
      </c>
      <c r="N8" s="9">
        <v>1.9214</v>
      </c>
      <c r="O8" s="12">
        <v>2.7000000000000001E-3</v>
      </c>
      <c r="P8" s="12">
        <v>39.491700000000002</v>
      </c>
      <c r="Q8" s="12">
        <v>19.364999999999998</v>
      </c>
      <c r="R8" s="12">
        <v>35.794400000000003</v>
      </c>
      <c r="S8" s="12">
        <v>35.868699999999997</v>
      </c>
      <c r="T8" s="12">
        <v>55.91</v>
      </c>
      <c r="U8" s="12">
        <v>9.83</v>
      </c>
      <c r="V8" s="12">
        <v>91.058199999999999</v>
      </c>
      <c r="W8" s="12">
        <v>7.5119999999999996</v>
      </c>
      <c r="X8" s="12">
        <v>1.8779999999999999</v>
      </c>
      <c r="Y8" s="10" t="s">
        <v>109</v>
      </c>
    </row>
    <row r="9" spans="1:45" x14ac:dyDescent="0.25">
      <c r="A9" s="19" t="s">
        <v>68</v>
      </c>
      <c r="B9" s="19" t="s">
        <v>31</v>
      </c>
      <c r="C9" s="6" t="s">
        <v>41</v>
      </c>
      <c r="D9" s="7" t="s">
        <v>33</v>
      </c>
      <c r="E9" s="16" t="s">
        <v>73</v>
      </c>
      <c r="F9" s="6" t="s">
        <v>34</v>
      </c>
      <c r="G9" s="6" t="s">
        <v>35</v>
      </c>
      <c r="H9" s="6" t="s">
        <v>36</v>
      </c>
      <c r="I9" s="6" t="s">
        <v>103</v>
      </c>
      <c r="J9" s="6" t="s">
        <v>37</v>
      </c>
      <c r="K9" s="6" t="s">
        <v>38</v>
      </c>
      <c r="L9" s="6" t="s">
        <v>39</v>
      </c>
      <c r="M9" s="6" t="s">
        <v>40</v>
      </c>
      <c r="N9" s="7">
        <v>2.3946000000000001</v>
      </c>
      <c r="O9" s="7">
        <v>2.7000000000000001E-3</v>
      </c>
      <c r="P9" s="7">
        <v>28.538</v>
      </c>
      <c r="Q9" s="7">
        <v>11.410600000000001</v>
      </c>
      <c r="R9" s="7">
        <v>25.981000000000002</v>
      </c>
      <c r="S9" s="7">
        <v>25.9344</v>
      </c>
      <c r="T9" s="7">
        <v>57.77</v>
      </c>
      <c r="U9" s="7">
        <v>11.33</v>
      </c>
      <c r="V9" s="7">
        <v>63.780299999999997</v>
      </c>
      <c r="W9" s="7">
        <v>10.912000000000001</v>
      </c>
      <c r="X9" s="7">
        <v>2.7280000000000002</v>
      </c>
      <c r="Y9" s="8" t="s">
        <v>110</v>
      </c>
    </row>
    <row r="10" spans="1:45" x14ac:dyDescent="0.25">
      <c r="A10" s="20"/>
      <c r="B10" s="20"/>
      <c r="C10" s="9" t="s">
        <v>27</v>
      </c>
      <c r="D10" s="9" t="s">
        <v>47</v>
      </c>
      <c r="E10" s="17" t="s">
        <v>69</v>
      </c>
      <c r="F10" s="9" t="str">
        <f t="shared" si="0"/>
        <v>train_batch_size = 8</v>
      </c>
      <c r="G10" s="9" t="str">
        <f t="shared" si="0"/>
        <v>eval_batch_size = 8</v>
      </c>
      <c r="H10" s="9" t="str">
        <f t="shared" si="0"/>
        <v>num_train_epochs = 2</v>
      </c>
      <c r="I10" s="9" t="str">
        <f t="shared" si="0"/>
        <v>weight_decay = 0.02</v>
      </c>
      <c r="J10" s="9" t="str">
        <f t="shared" si="0"/>
        <v>warmup_steps = 500</v>
      </c>
      <c r="K10" s="9" t="str">
        <f t="shared" si="0"/>
        <v>logging_steps = 50</v>
      </c>
      <c r="L10" s="9" t="str">
        <f t="shared" si="0"/>
        <v>generation_max_length = 128</v>
      </c>
      <c r="M10" s="9" t="str">
        <f t="shared" si="0"/>
        <v>gradient_accumulation_steps = 2</v>
      </c>
      <c r="N10" s="9">
        <v>1.9733000000000001</v>
      </c>
      <c r="O10" s="9">
        <v>2.7000000000000001E-3</v>
      </c>
      <c r="P10" s="12">
        <v>39.200499999999998</v>
      </c>
      <c r="Q10" s="9">
        <v>19.2043</v>
      </c>
      <c r="R10" s="9">
        <v>35.488500000000002</v>
      </c>
      <c r="S10" s="9">
        <v>35.546700000000001</v>
      </c>
      <c r="T10" s="9">
        <v>53.36</v>
      </c>
      <c r="U10" s="9">
        <v>10.18</v>
      </c>
      <c r="V10" s="9">
        <v>89.565100000000001</v>
      </c>
      <c r="W10" s="9">
        <v>7.6369999999999996</v>
      </c>
      <c r="X10" s="9">
        <v>1.909</v>
      </c>
      <c r="Y10" s="10" t="s">
        <v>111</v>
      </c>
    </row>
    <row r="11" spans="1:45" x14ac:dyDescent="0.25">
      <c r="A11" s="19" t="s">
        <v>68</v>
      </c>
      <c r="B11" s="19" t="s">
        <v>32</v>
      </c>
      <c r="C11" s="6" t="s">
        <v>41</v>
      </c>
      <c r="D11" s="7" t="s">
        <v>33</v>
      </c>
      <c r="E11" s="16" t="s">
        <v>74</v>
      </c>
      <c r="F11" s="6" t="s">
        <v>34</v>
      </c>
      <c r="G11" s="6" t="s">
        <v>35</v>
      </c>
      <c r="H11" s="6" t="s">
        <v>36</v>
      </c>
      <c r="I11" s="6" t="s">
        <v>103</v>
      </c>
      <c r="J11" s="6" t="s">
        <v>37</v>
      </c>
      <c r="K11" s="6" t="s">
        <v>38</v>
      </c>
      <c r="L11" s="6" t="s">
        <v>39</v>
      </c>
      <c r="M11" s="6" t="s">
        <v>40</v>
      </c>
      <c r="N11" s="7">
        <v>2.1802999999999999</v>
      </c>
      <c r="O11" s="7">
        <v>2.5999999999999999E-3</v>
      </c>
      <c r="P11" s="9">
        <v>29.749600000000001</v>
      </c>
      <c r="Q11" s="7">
        <v>12.260999999999999</v>
      </c>
      <c r="R11" s="7">
        <v>27.165800000000001</v>
      </c>
      <c r="S11" s="7">
        <v>27.1023</v>
      </c>
      <c r="T11" s="7">
        <v>57.35</v>
      </c>
      <c r="U11" s="7">
        <v>11.04</v>
      </c>
      <c r="V11" s="7">
        <v>62.420499999999997</v>
      </c>
      <c r="W11" s="7">
        <v>11.15</v>
      </c>
      <c r="X11" s="7">
        <v>2.7879999999999998</v>
      </c>
      <c r="Y11" s="8" t="s">
        <v>112</v>
      </c>
    </row>
    <row r="12" spans="1:45" ht="30" x14ac:dyDescent="0.25">
      <c r="A12" s="20"/>
      <c r="B12" s="20"/>
      <c r="C12" s="9" t="s">
        <v>27</v>
      </c>
      <c r="D12" s="9" t="s">
        <v>47</v>
      </c>
      <c r="E12" s="18" t="s">
        <v>74</v>
      </c>
      <c r="F12" s="15" t="s">
        <v>34</v>
      </c>
      <c r="G12" s="15" t="s">
        <v>35</v>
      </c>
      <c r="H12" s="15" t="s">
        <v>36</v>
      </c>
      <c r="I12" s="15" t="s">
        <v>103</v>
      </c>
      <c r="J12" s="15" t="s">
        <v>37</v>
      </c>
      <c r="K12" s="15" t="s">
        <v>38</v>
      </c>
      <c r="L12" s="15" t="s">
        <v>39</v>
      </c>
      <c r="M12" s="15" t="s">
        <v>40</v>
      </c>
      <c r="N12" s="12">
        <v>1.9386000000000001</v>
      </c>
      <c r="O12" s="9">
        <v>3.3E-3</v>
      </c>
      <c r="P12" s="9">
        <v>39.612000000000002</v>
      </c>
      <c r="Q12" s="9">
        <v>19.4834</v>
      </c>
      <c r="R12" s="9">
        <v>35.826599999999999</v>
      </c>
      <c r="S12" s="9">
        <v>35.831699999999998</v>
      </c>
      <c r="T12" s="9">
        <v>53.61</v>
      </c>
      <c r="U12" s="9">
        <v>9.81</v>
      </c>
      <c r="V12" s="9">
        <v>89.659599999999998</v>
      </c>
      <c r="W12" s="9">
        <v>7.6289999999999996</v>
      </c>
      <c r="X12" s="9">
        <v>1.907</v>
      </c>
      <c r="Y12" s="10" t="s">
        <v>113</v>
      </c>
    </row>
    <row r="13" spans="1:45" ht="30" x14ac:dyDescent="0.25">
      <c r="A13" s="19" t="s">
        <v>68</v>
      </c>
      <c r="B13" s="19" t="s">
        <v>42</v>
      </c>
      <c r="C13" s="6" t="s">
        <v>41</v>
      </c>
      <c r="D13" s="6" t="s">
        <v>33</v>
      </c>
      <c r="E13" s="6" t="s">
        <v>69</v>
      </c>
      <c r="F13" s="6" t="s">
        <v>34</v>
      </c>
      <c r="G13" s="6" t="s">
        <v>35</v>
      </c>
      <c r="H13" s="6" t="s">
        <v>36</v>
      </c>
      <c r="I13" s="6" t="s">
        <v>103</v>
      </c>
      <c r="J13" s="6" t="s">
        <v>37</v>
      </c>
      <c r="K13" s="6" t="s">
        <v>38</v>
      </c>
      <c r="L13" s="6" t="s">
        <v>39</v>
      </c>
      <c r="M13" s="6" t="s">
        <v>40</v>
      </c>
      <c r="N13" s="6">
        <v>2.0217000000000001</v>
      </c>
      <c r="O13" s="7">
        <v>31.067900000000002</v>
      </c>
      <c r="P13" s="7">
        <v>31.067900000000002</v>
      </c>
      <c r="Q13" s="7">
        <v>13.18</v>
      </c>
      <c r="R13" s="7">
        <v>28.363099999999999</v>
      </c>
      <c r="S13" s="7">
        <v>28.415900000000001</v>
      </c>
      <c r="T13" s="7">
        <v>56.05</v>
      </c>
      <c r="U13" s="7">
        <v>10.41</v>
      </c>
      <c r="V13" s="7">
        <v>56.439</v>
      </c>
      <c r="W13" s="7">
        <v>12.332000000000001</v>
      </c>
      <c r="X13" s="7">
        <v>3.0830000000000002</v>
      </c>
      <c r="Y13" s="8" t="s">
        <v>114</v>
      </c>
    </row>
    <row r="14" spans="1:45" ht="30" x14ac:dyDescent="0.25">
      <c r="A14" s="20"/>
      <c r="B14" s="20"/>
      <c r="C14" s="9" t="s">
        <v>27</v>
      </c>
      <c r="D14" s="9" t="s">
        <v>47</v>
      </c>
      <c r="E14" s="18" t="s">
        <v>75</v>
      </c>
      <c r="F14" s="15" t="s">
        <v>34</v>
      </c>
      <c r="G14" s="15" t="s">
        <v>35</v>
      </c>
      <c r="H14" s="15" t="s">
        <v>36</v>
      </c>
      <c r="I14" s="15" t="s">
        <v>103</v>
      </c>
      <c r="J14" s="15" t="s">
        <v>37</v>
      </c>
      <c r="K14" s="15" t="s">
        <v>38</v>
      </c>
      <c r="L14" s="15" t="s">
        <v>39</v>
      </c>
      <c r="M14" s="15" t="s">
        <v>40</v>
      </c>
      <c r="N14" s="9">
        <v>1.9232</v>
      </c>
      <c r="O14" s="9">
        <v>2.8E-3</v>
      </c>
      <c r="P14" s="9">
        <v>40.029699999999998</v>
      </c>
      <c r="Q14" s="9">
        <v>19.6526</v>
      </c>
      <c r="R14" s="9">
        <v>36.281599999999997</v>
      </c>
      <c r="S14" s="9">
        <v>36.329300000000003</v>
      </c>
      <c r="T14" s="9">
        <v>54.38</v>
      </c>
      <c r="U14" s="9">
        <v>9.7100000000000009</v>
      </c>
      <c r="V14" s="9">
        <v>88.356999999999999</v>
      </c>
      <c r="W14" s="9">
        <v>7.7409999999999997</v>
      </c>
      <c r="X14" s="9">
        <v>1.9350000000000001</v>
      </c>
      <c r="Y14" s="10" t="s">
        <v>115</v>
      </c>
    </row>
    <row r="15" spans="1:45" x14ac:dyDescent="0.25">
      <c r="A15" s="19" t="s">
        <v>68</v>
      </c>
      <c r="B15" s="19" t="s">
        <v>43</v>
      </c>
      <c r="C15" s="6" t="s">
        <v>41</v>
      </c>
      <c r="D15" s="7" t="s">
        <v>33</v>
      </c>
      <c r="E15" s="16" t="s">
        <v>76</v>
      </c>
      <c r="F15" s="6" t="s">
        <v>34</v>
      </c>
      <c r="G15" s="6" t="s">
        <v>35</v>
      </c>
      <c r="H15" s="6" t="s">
        <v>36</v>
      </c>
      <c r="I15" s="6" t="s">
        <v>103</v>
      </c>
      <c r="J15" s="6" t="s">
        <v>37</v>
      </c>
      <c r="K15" s="6" t="s">
        <v>38</v>
      </c>
      <c r="L15" s="6" t="s">
        <v>39</v>
      </c>
      <c r="M15" s="6" t="s">
        <v>40</v>
      </c>
      <c r="N15" s="7">
        <v>2.0434000000000001</v>
      </c>
      <c r="O15" s="7">
        <v>2.5000000000000001E-3</v>
      </c>
      <c r="P15" s="7">
        <v>31.11</v>
      </c>
      <c r="Q15" s="7">
        <v>13.0982</v>
      </c>
      <c r="R15" s="7">
        <v>28.349599999999999</v>
      </c>
      <c r="S15" s="7">
        <v>28.328399999999998</v>
      </c>
      <c r="T15" s="7">
        <v>56.21</v>
      </c>
      <c r="U15" s="7">
        <v>56.21</v>
      </c>
      <c r="V15" s="7">
        <v>62.471800000000002</v>
      </c>
      <c r="W15" s="7">
        <v>11.141</v>
      </c>
      <c r="X15" s="7">
        <v>2.7850000000000001</v>
      </c>
      <c r="Y15" s="8" t="s">
        <v>116</v>
      </c>
    </row>
    <row r="16" spans="1:45" x14ac:dyDescent="0.25">
      <c r="A16" s="20"/>
      <c r="B16" s="20"/>
      <c r="C16" s="9" t="s">
        <v>27</v>
      </c>
      <c r="D16" s="9" t="s">
        <v>47</v>
      </c>
      <c r="E16" s="18" t="s">
        <v>76</v>
      </c>
      <c r="F16" s="15" t="s">
        <v>34</v>
      </c>
      <c r="G16" s="15" t="s">
        <v>35</v>
      </c>
      <c r="H16" s="15" t="s">
        <v>36</v>
      </c>
      <c r="I16" s="15" t="s">
        <v>103</v>
      </c>
      <c r="J16" s="15" t="s">
        <v>37</v>
      </c>
      <c r="K16" s="15" t="s">
        <v>38</v>
      </c>
      <c r="L16" s="15" t="s">
        <v>39</v>
      </c>
      <c r="M16" s="15" t="s">
        <v>40</v>
      </c>
      <c r="N16" s="9">
        <v>1.9214</v>
      </c>
      <c r="O16" s="12">
        <v>2.7000000000000001E-3</v>
      </c>
      <c r="P16" s="12">
        <v>39.491700000000002</v>
      </c>
      <c r="Q16" s="12">
        <v>19.364999999999998</v>
      </c>
      <c r="R16" s="12">
        <v>35.794400000000003</v>
      </c>
      <c r="S16" s="12">
        <v>35.868699999999997</v>
      </c>
      <c r="T16" s="12">
        <v>55.91</v>
      </c>
      <c r="U16" s="12">
        <v>9.83</v>
      </c>
      <c r="V16" s="12">
        <v>91.058199999999999</v>
      </c>
      <c r="W16" s="12">
        <v>7.5119999999999996</v>
      </c>
      <c r="X16" s="12">
        <v>1.8779999999999999</v>
      </c>
      <c r="Y16" s="10" t="s">
        <v>117</v>
      </c>
    </row>
    <row r="17" spans="1:63" x14ac:dyDescent="0.25">
      <c r="A17" s="19" t="s">
        <v>68</v>
      </c>
      <c r="B17" s="19" t="s">
        <v>44</v>
      </c>
      <c r="C17" s="6" t="s">
        <v>41</v>
      </c>
      <c r="D17" s="7" t="s">
        <v>33</v>
      </c>
      <c r="E17" s="16" t="s">
        <v>77</v>
      </c>
      <c r="F17" s="6" t="s">
        <v>34</v>
      </c>
      <c r="G17" s="6" t="s">
        <v>35</v>
      </c>
      <c r="H17" s="6" t="s">
        <v>36</v>
      </c>
      <c r="I17" s="6" t="s">
        <v>103</v>
      </c>
      <c r="J17" s="6" t="s">
        <v>37</v>
      </c>
      <c r="K17" s="6" t="s">
        <v>38</v>
      </c>
      <c r="L17" s="6" t="s">
        <v>39</v>
      </c>
      <c r="M17" s="6" t="s">
        <v>40</v>
      </c>
      <c r="N17" s="7">
        <v>1.9519</v>
      </c>
      <c r="O17" s="7">
        <v>2.5999999999999999E-3</v>
      </c>
      <c r="P17" s="7">
        <v>34.156999999999996</v>
      </c>
      <c r="Q17" s="7">
        <v>14.8467</v>
      </c>
      <c r="R17" s="7">
        <v>31.134399999999999</v>
      </c>
      <c r="S17" s="7">
        <v>31.154499999999999</v>
      </c>
      <c r="T17" s="7">
        <v>55.3</v>
      </c>
      <c r="U17" s="7">
        <v>9.52</v>
      </c>
      <c r="V17" s="7">
        <v>62.692700000000002</v>
      </c>
      <c r="W17" s="7">
        <v>11.102</v>
      </c>
      <c r="X17" s="7">
        <v>2.7749999999999999</v>
      </c>
      <c r="Y17" s="8" t="s">
        <v>118</v>
      </c>
    </row>
    <row r="18" spans="1:63" x14ac:dyDescent="0.25">
      <c r="A18" s="20"/>
      <c r="B18" s="20"/>
      <c r="C18" s="9" t="s">
        <v>27</v>
      </c>
      <c r="D18" s="9" t="s">
        <v>47</v>
      </c>
      <c r="E18" s="18" t="s">
        <v>77</v>
      </c>
      <c r="F18" s="15" t="s">
        <v>34</v>
      </c>
      <c r="G18" s="15" t="s">
        <v>35</v>
      </c>
      <c r="H18" s="15" t="s">
        <v>36</v>
      </c>
      <c r="I18" s="15" t="s">
        <v>103</v>
      </c>
      <c r="J18" s="15" t="s">
        <v>37</v>
      </c>
      <c r="K18" s="15" t="s">
        <v>38</v>
      </c>
      <c r="L18" s="15" t="s">
        <v>39</v>
      </c>
      <c r="M18" s="15" t="s">
        <v>40</v>
      </c>
      <c r="N18" s="9">
        <v>1.9386000000000001</v>
      </c>
      <c r="O18" s="9">
        <v>5.3E-3</v>
      </c>
      <c r="P18" s="9">
        <v>39.384300000000003</v>
      </c>
      <c r="Q18" s="9">
        <v>19.4438</v>
      </c>
      <c r="R18" s="9">
        <v>35.685899999999997</v>
      </c>
      <c r="S18" s="9">
        <v>35.7744</v>
      </c>
      <c r="T18" s="9">
        <v>55.34</v>
      </c>
      <c r="U18" s="9">
        <v>9.99</v>
      </c>
      <c r="V18" s="9">
        <v>90.206000000000003</v>
      </c>
      <c r="W18" s="9">
        <v>7.5830000000000002</v>
      </c>
      <c r="X18" s="9">
        <v>1.8959999999999999</v>
      </c>
      <c r="Y18" s="10" t="s">
        <v>119</v>
      </c>
    </row>
    <row r="19" spans="1:63" s="11" customFormat="1" x14ac:dyDescent="0.25">
      <c r="A19" s="19" t="s">
        <v>68</v>
      </c>
      <c r="B19" s="19" t="s">
        <v>45</v>
      </c>
      <c r="C19" s="6" t="s">
        <v>41</v>
      </c>
      <c r="D19" s="7" t="s">
        <v>33</v>
      </c>
      <c r="E19" s="16" t="s">
        <v>78</v>
      </c>
      <c r="F19" s="6" t="s">
        <v>34</v>
      </c>
      <c r="G19" s="6" t="s">
        <v>35</v>
      </c>
      <c r="H19" s="6" t="s">
        <v>36</v>
      </c>
      <c r="I19" s="6" t="s">
        <v>103</v>
      </c>
      <c r="J19" s="6" t="s">
        <v>37</v>
      </c>
      <c r="K19" s="6" t="s">
        <v>38</v>
      </c>
      <c r="L19" s="6" t="s">
        <v>39</v>
      </c>
      <c r="M19" s="6" t="s">
        <v>40</v>
      </c>
      <c r="N19" s="7">
        <v>1.929</v>
      </c>
      <c r="O19" s="7">
        <v>2.5999999999999999E-3</v>
      </c>
      <c r="P19" s="7">
        <v>34.621499999999997</v>
      </c>
      <c r="Q19" s="7">
        <v>15.3835</v>
      </c>
      <c r="R19" s="7">
        <v>31.503399999999999</v>
      </c>
      <c r="S19" s="7">
        <v>31.4893</v>
      </c>
      <c r="T19" s="7">
        <v>53.87</v>
      </c>
      <c r="U19" s="7">
        <v>9.35</v>
      </c>
      <c r="V19" s="7">
        <v>62.320500000000003</v>
      </c>
      <c r="W19" s="7">
        <v>11.167999999999999</v>
      </c>
      <c r="X19" s="7">
        <v>2.7919999999999998</v>
      </c>
      <c r="Y19" s="8" t="s">
        <v>120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s="12" customFormat="1" x14ac:dyDescent="0.25">
      <c r="A20" s="20"/>
      <c r="B20" s="20"/>
      <c r="C20" s="9" t="s">
        <v>27</v>
      </c>
      <c r="D20" s="9" t="s">
        <v>47</v>
      </c>
      <c r="E20" s="18" t="s">
        <v>78</v>
      </c>
      <c r="F20" s="15" t="s">
        <v>34</v>
      </c>
      <c r="G20" s="15" t="s">
        <v>35</v>
      </c>
      <c r="H20" s="15" t="s">
        <v>36</v>
      </c>
      <c r="I20" s="15" t="s">
        <v>103</v>
      </c>
      <c r="J20" s="15" t="s">
        <v>37</v>
      </c>
      <c r="K20" s="15" t="s">
        <v>38</v>
      </c>
      <c r="L20" s="15" t="s">
        <v>39</v>
      </c>
      <c r="M20" s="15" t="s">
        <v>40</v>
      </c>
      <c r="N20" s="9">
        <v>1.9745999999999999</v>
      </c>
      <c r="O20" s="9">
        <v>2.8E-3</v>
      </c>
      <c r="P20" s="9">
        <v>39.1982</v>
      </c>
      <c r="Q20" s="9">
        <v>19.0245</v>
      </c>
      <c r="R20" s="9">
        <v>35.305500000000002</v>
      </c>
      <c r="S20" s="9">
        <v>35.387500000000003</v>
      </c>
      <c r="T20" s="9">
        <v>54.73</v>
      </c>
      <c r="U20" s="9">
        <v>9.76</v>
      </c>
      <c r="V20" s="9">
        <v>89.288700000000006</v>
      </c>
      <c r="W20" s="9">
        <v>7.6609999999999996</v>
      </c>
      <c r="X20" s="9">
        <v>1.915</v>
      </c>
      <c r="Y20" s="10" t="s">
        <v>121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s="11" customFormat="1" x14ac:dyDescent="0.25">
      <c r="A21" s="19" t="s">
        <v>68</v>
      </c>
      <c r="B21" s="19" t="s">
        <v>46</v>
      </c>
      <c r="C21" s="6" t="s">
        <v>41</v>
      </c>
      <c r="D21" s="7" t="s">
        <v>33</v>
      </c>
      <c r="E21" s="16" t="s">
        <v>79</v>
      </c>
      <c r="F21" s="6" t="s">
        <v>34</v>
      </c>
      <c r="G21" s="6" t="s">
        <v>35</v>
      </c>
      <c r="H21" s="6" t="s">
        <v>36</v>
      </c>
      <c r="I21" s="6" t="s">
        <v>103</v>
      </c>
      <c r="J21" s="6" t="s">
        <v>37</v>
      </c>
      <c r="K21" s="6" t="s">
        <v>38</v>
      </c>
      <c r="L21" s="6" t="s">
        <v>39</v>
      </c>
      <c r="M21" s="6" t="s">
        <v>40</v>
      </c>
      <c r="N21" s="7">
        <v>1.8967000000000001</v>
      </c>
      <c r="O21" s="7">
        <v>3.8999999999999998E-3</v>
      </c>
      <c r="P21" s="7">
        <v>35.2087</v>
      </c>
      <c r="Q21" s="7">
        <v>16.0212</v>
      </c>
      <c r="R21" s="7">
        <v>32.2057</v>
      </c>
      <c r="S21" s="7">
        <v>32.155099999999997</v>
      </c>
      <c r="T21" s="7">
        <v>53.4</v>
      </c>
      <c r="U21" s="7">
        <v>9.2799999999999994</v>
      </c>
      <c r="V21" s="7">
        <v>62.823300000000003</v>
      </c>
      <c r="W21" s="7">
        <v>11.079000000000001</v>
      </c>
      <c r="X21" s="7">
        <v>2.77</v>
      </c>
      <c r="Y21" s="8" t="s">
        <v>122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3" ht="30" x14ac:dyDescent="0.25">
      <c r="A22" s="20"/>
      <c r="B22" s="20"/>
      <c r="C22" s="9" t="s">
        <v>27</v>
      </c>
      <c r="D22" s="9" t="s">
        <v>47</v>
      </c>
      <c r="E22" s="18" t="s">
        <v>79</v>
      </c>
      <c r="F22" s="15" t="s">
        <v>34</v>
      </c>
      <c r="G22" s="15" t="s">
        <v>35</v>
      </c>
      <c r="H22" s="15" t="s">
        <v>36</v>
      </c>
      <c r="I22" s="15" t="s">
        <v>103</v>
      </c>
      <c r="J22" s="15" t="s">
        <v>37</v>
      </c>
      <c r="K22" s="15" t="s">
        <v>38</v>
      </c>
      <c r="L22" s="15" t="s">
        <v>39</v>
      </c>
      <c r="M22" s="15" t="s">
        <v>40</v>
      </c>
      <c r="N22" s="9">
        <v>2.1699000000000002</v>
      </c>
      <c r="O22" s="9">
        <v>2.8999999999999998E-3</v>
      </c>
      <c r="P22" s="9">
        <v>38.481699999999996</v>
      </c>
      <c r="Q22" s="9">
        <v>18.145700000000001</v>
      </c>
      <c r="R22" s="9">
        <v>34.619100000000003</v>
      </c>
      <c r="S22" s="9">
        <v>34.686500000000002</v>
      </c>
      <c r="T22" s="9">
        <v>52.6</v>
      </c>
      <c r="U22" s="9">
        <v>10.38</v>
      </c>
      <c r="V22" s="9">
        <v>89.773300000000006</v>
      </c>
      <c r="W22" s="9">
        <v>7.6189999999999998</v>
      </c>
      <c r="X22" s="9">
        <v>1.905</v>
      </c>
      <c r="Y22" s="10" t="s">
        <v>123</v>
      </c>
    </row>
    <row r="23" spans="1:63" s="11" customFormat="1" x14ac:dyDescent="0.25">
      <c r="A23" s="19" t="s">
        <v>68</v>
      </c>
      <c r="B23" s="19" t="s">
        <v>48</v>
      </c>
      <c r="C23" s="6" t="s">
        <v>41</v>
      </c>
      <c r="D23" s="7" t="s">
        <v>33</v>
      </c>
      <c r="E23" s="16" t="s">
        <v>80</v>
      </c>
      <c r="F23" s="6" t="s">
        <v>34</v>
      </c>
      <c r="G23" s="6" t="s">
        <v>35</v>
      </c>
      <c r="H23" s="6" t="s">
        <v>36</v>
      </c>
      <c r="I23" s="6" t="s">
        <v>81</v>
      </c>
      <c r="J23" s="6" t="s">
        <v>37</v>
      </c>
      <c r="K23" s="6" t="s">
        <v>38</v>
      </c>
      <c r="L23" s="6" t="s">
        <v>39</v>
      </c>
      <c r="M23" s="6" t="s">
        <v>40</v>
      </c>
      <c r="N23" s="7">
        <v>2.6621000000000001</v>
      </c>
      <c r="O23" s="7">
        <v>2.5999999999999999E-3</v>
      </c>
      <c r="P23" s="7">
        <v>27.073699999999999</v>
      </c>
      <c r="Q23" s="7">
        <v>10.276300000000001</v>
      </c>
      <c r="R23" s="7">
        <v>24.578700000000001</v>
      </c>
      <c r="S23" s="7">
        <v>24.5274</v>
      </c>
      <c r="T23" s="7">
        <v>57.71</v>
      </c>
      <c r="U23" s="7">
        <v>11.61</v>
      </c>
      <c r="V23" s="7">
        <v>61.910699999999999</v>
      </c>
      <c r="W23" s="7">
        <v>11.242000000000001</v>
      </c>
      <c r="X23" s="7">
        <v>2.81</v>
      </c>
      <c r="Y23" s="8" t="s">
        <v>124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s="12" customFormat="1" ht="30" x14ac:dyDescent="0.25">
      <c r="A24" s="20"/>
      <c r="B24" s="20"/>
      <c r="C24" s="9" t="s">
        <v>27</v>
      </c>
      <c r="D24" s="9" t="s">
        <v>47</v>
      </c>
      <c r="E24" s="15" t="s">
        <v>84</v>
      </c>
      <c r="F24" s="15" t="s">
        <v>34</v>
      </c>
      <c r="G24" s="15" t="s">
        <v>35</v>
      </c>
      <c r="H24" s="15" t="s">
        <v>36</v>
      </c>
      <c r="I24" s="15" t="s">
        <v>81</v>
      </c>
      <c r="J24" s="15" t="s">
        <v>37</v>
      </c>
      <c r="K24" s="15" t="s">
        <v>38</v>
      </c>
      <c r="L24" s="15" t="s">
        <v>39</v>
      </c>
      <c r="M24" s="15" t="s">
        <v>40</v>
      </c>
      <c r="N24" s="9">
        <v>2.0954000000000002</v>
      </c>
      <c r="O24" s="9">
        <v>2.8999999999999998E-3</v>
      </c>
      <c r="P24" s="9">
        <v>34.3401</v>
      </c>
      <c r="Q24" s="9">
        <v>15.656700000000001</v>
      </c>
      <c r="R24" s="12">
        <v>30.925799999999999</v>
      </c>
      <c r="S24" s="9">
        <v>30.926300000000001</v>
      </c>
      <c r="T24" s="9">
        <v>54.61</v>
      </c>
      <c r="U24" s="9">
        <v>10.7</v>
      </c>
      <c r="V24" s="9">
        <v>91.260999999999996</v>
      </c>
      <c r="W24" s="9">
        <v>7.55</v>
      </c>
      <c r="X24" s="9">
        <v>1.8959999999999999</v>
      </c>
      <c r="Y24" s="10" t="s">
        <v>125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s="11" customFormat="1" x14ac:dyDescent="0.25">
      <c r="A25" s="19" t="s">
        <v>68</v>
      </c>
      <c r="B25" s="19" t="s">
        <v>49</v>
      </c>
      <c r="C25" s="6" t="s">
        <v>41</v>
      </c>
      <c r="D25" s="7" t="s">
        <v>33</v>
      </c>
      <c r="E25" s="16" t="s">
        <v>80</v>
      </c>
      <c r="F25" s="6" t="s">
        <v>34</v>
      </c>
      <c r="G25" s="6" t="s">
        <v>35</v>
      </c>
      <c r="H25" s="6" t="s">
        <v>36</v>
      </c>
      <c r="I25" s="6" t="s">
        <v>82</v>
      </c>
      <c r="J25" s="6" t="s">
        <v>37</v>
      </c>
      <c r="K25" s="6" t="s">
        <v>38</v>
      </c>
      <c r="L25" s="6" t="s">
        <v>39</v>
      </c>
      <c r="M25" s="6" t="s">
        <v>40</v>
      </c>
      <c r="N25" s="7">
        <v>2.6621000000000001</v>
      </c>
      <c r="O25" s="7">
        <v>2.5999999999999999E-3</v>
      </c>
      <c r="P25" s="7">
        <v>27.073699999999999</v>
      </c>
      <c r="Q25" s="7">
        <v>10.276300000000001</v>
      </c>
      <c r="R25" s="7">
        <v>24.578700000000001</v>
      </c>
      <c r="S25" s="7">
        <v>24.5274</v>
      </c>
      <c r="T25" s="7">
        <v>57.71</v>
      </c>
      <c r="U25" s="7">
        <v>11.61</v>
      </c>
      <c r="V25" s="7">
        <v>61.910699999999999</v>
      </c>
      <c r="W25" s="7">
        <v>11.242000000000001</v>
      </c>
      <c r="X25" s="7">
        <v>2.81</v>
      </c>
      <c r="Y25" s="8" t="s">
        <v>126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s="12" customFormat="1" x14ac:dyDescent="0.25">
      <c r="A26" s="20"/>
      <c r="B26" s="20"/>
      <c r="C26" s="9" t="s">
        <v>27</v>
      </c>
      <c r="D26" s="9" t="s">
        <v>47</v>
      </c>
      <c r="E26" s="15" t="s">
        <v>84</v>
      </c>
      <c r="F26" s="15" t="s">
        <v>34</v>
      </c>
      <c r="G26" s="15" t="s">
        <v>35</v>
      </c>
      <c r="H26" s="15" t="s">
        <v>36</v>
      </c>
      <c r="I26" s="15" t="s">
        <v>82</v>
      </c>
      <c r="J26" s="15" t="s">
        <v>37</v>
      </c>
      <c r="K26" s="15" t="s">
        <v>38</v>
      </c>
      <c r="L26" s="15" t="s">
        <v>39</v>
      </c>
      <c r="M26" s="15" t="s">
        <v>40</v>
      </c>
      <c r="N26" s="9">
        <v>2.2044999999999999</v>
      </c>
      <c r="O26" s="9">
        <v>2.8E-3</v>
      </c>
      <c r="P26" s="9">
        <v>28.403099999999998</v>
      </c>
      <c r="Q26" s="9">
        <v>12.165800000000001</v>
      </c>
      <c r="R26" s="9">
        <v>25.6188</v>
      </c>
      <c r="S26" s="9">
        <v>25.5535</v>
      </c>
      <c r="T26" s="9">
        <v>56.46</v>
      </c>
      <c r="U26" s="9">
        <v>11.66</v>
      </c>
      <c r="V26" s="9">
        <v>93.680800000000005</v>
      </c>
      <c r="W26" s="9">
        <v>7.5179999999999998</v>
      </c>
      <c r="X26" s="9">
        <v>1.7230000000000001</v>
      </c>
      <c r="Y26" s="10" t="s">
        <v>127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s="14" customFormat="1" x14ac:dyDescent="0.25">
      <c r="A27" s="19" t="s">
        <v>68</v>
      </c>
      <c r="B27" s="19" t="s">
        <v>50</v>
      </c>
      <c r="C27" s="15" t="s">
        <v>41</v>
      </c>
      <c r="D27" s="7" t="s">
        <v>33</v>
      </c>
      <c r="E27" s="16" t="s">
        <v>80</v>
      </c>
      <c r="F27" s="6" t="s">
        <v>34</v>
      </c>
      <c r="G27" s="6" t="s">
        <v>35</v>
      </c>
      <c r="H27" s="6" t="s">
        <v>36</v>
      </c>
      <c r="I27" s="6" t="s">
        <v>83</v>
      </c>
      <c r="J27" s="6" t="s">
        <v>37</v>
      </c>
      <c r="K27" s="6" t="s">
        <v>38</v>
      </c>
      <c r="L27" s="6" t="s">
        <v>39</v>
      </c>
      <c r="M27" s="6" t="s">
        <v>40</v>
      </c>
      <c r="N27" s="7">
        <v>2.6955</v>
      </c>
      <c r="O27" s="7">
        <v>2.5000000000000001E-3</v>
      </c>
      <c r="P27" s="7">
        <v>26</v>
      </c>
      <c r="Q27" s="7">
        <v>10.221399999999999</v>
      </c>
      <c r="R27" s="7">
        <v>23.482500000000002</v>
      </c>
      <c r="S27" s="7">
        <v>23.556899999999999</v>
      </c>
      <c r="T27" s="7">
        <v>57.89</v>
      </c>
      <c r="U27" s="7">
        <v>11.55</v>
      </c>
      <c r="V27" s="7">
        <v>60.5473</v>
      </c>
      <c r="W27" s="7">
        <v>11.214</v>
      </c>
      <c r="X27" s="7">
        <v>2.8079999999999998</v>
      </c>
      <c r="Y27" s="8" t="s">
        <v>126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s="12" customFormat="1" ht="30" x14ac:dyDescent="0.25">
      <c r="A28" s="20"/>
      <c r="B28" s="20"/>
      <c r="C28" s="9" t="s">
        <v>27</v>
      </c>
      <c r="D28" s="9" t="s">
        <v>47</v>
      </c>
      <c r="E28" s="18" t="s">
        <v>80</v>
      </c>
      <c r="F28" s="15" t="s">
        <v>34</v>
      </c>
      <c r="G28" s="15" t="s">
        <v>35</v>
      </c>
      <c r="H28" s="15" t="s">
        <v>36</v>
      </c>
      <c r="I28" s="15" t="s">
        <v>83</v>
      </c>
      <c r="J28" s="15" t="s">
        <v>37</v>
      </c>
      <c r="K28" s="15" t="s">
        <v>38</v>
      </c>
      <c r="L28" s="15" t="s">
        <v>39</v>
      </c>
      <c r="M28" s="15" t="s">
        <v>40</v>
      </c>
      <c r="N28" s="9">
        <v>2.1890000000000001</v>
      </c>
      <c r="O28" s="9">
        <v>2.5999999999999999E-3</v>
      </c>
      <c r="P28" s="9">
        <v>28.900600000000001</v>
      </c>
      <c r="Q28" s="9">
        <v>12.6759</v>
      </c>
      <c r="R28" s="9">
        <v>26.1615</v>
      </c>
      <c r="S28" s="9">
        <v>26.140999999999998</v>
      </c>
      <c r="T28" s="9">
        <v>57.47</v>
      </c>
      <c r="U28" s="9">
        <v>11.76</v>
      </c>
      <c r="V28" s="9">
        <v>98.394400000000005</v>
      </c>
      <c r="W28" s="9">
        <v>7.2569999999999997</v>
      </c>
      <c r="X28" s="9">
        <v>1.819</v>
      </c>
      <c r="Y28" s="10" t="s">
        <v>128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s="11" customFormat="1" x14ac:dyDescent="0.25">
      <c r="A29" s="19" t="s">
        <v>68</v>
      </c>
      <c r="B29" s="19" t="s">
        <v>51</v>
      </c>
      <c r="C29" s="6" t="s">
        <v>41</v>
      </c>
      <c r="D29" s="7" t="s">
        <v>33</v>
      </c>
      <c r="E29" s="16" t="s">
        <v>80</v>
      </c>
      <c r="F29" s="6" t="s">
        <v>34</v>
      </c>
      <c r="G29" s="6" t="s">
        <v>35</v>
      </c>
      <c r="H29" s="6" t="s">
        <v>36</v>
      </c>
      <c r="I29" s="6" t="s">
        <v>85</v>
      </c>
      <c r="J29" s="6" t="s">
        <v>37</v>
      </c>
      <c r="K29" s="6" t="s">
        <v>38</v>
      </c>
      <c r="L29" s="6" t="s">
        <v>39</v>
      </c>
      <c r="M29" s="6" t="s">
        <v>40</v>
      </c>
      <c r="N29" s="7">
        <v>2.6953999999999998</v>
      </c>
      <c r="O29" s="7">
        <v>2.3999999999999998E-3</v>
      </c>
      <c r="P29" s="7">
        <v>26.013300000000001</v>
      </c>
      <c r="Q29" s="7">
        <v>10.221399999999999</v>
      </c>
      <c r="R29" s="7">
        <v>23.482500000000002</v>
      </c>
      <c r="S29" s="7">
        <v>23.556899999999999</v>
      </c>
      <c r="T29" s="7">
        <v>57.91</v>
      </c>
      <c r="U29" s="7">
        <v>11.55</v>
      </c>
      <c r="V29" s="7">
        <v>71.970699999999994</v>
      </c>
      <c r="W29" s="7">
        <v>9.4339999999999993</v>
      </c>
      <c r="X29" s="7">
        <v>2.3620000000000001</v>
      </c>
      <c r="Y29" s="8" t="s">
        <v>126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s="12" customFormat="1" x14ac:dyDescent="0.25">
      <c r="A30" s="20"/>
      <c r="B30" s="20"/>
      <c r="C30" s="9" t="s">
        <v>27</v>
      </c>
      <c r="D30" s="9" t="s">
        <v>47</v>
      </c>
      <c r="E30" s="18" t="s">
        <v>80</v>
      </c>
      <c r="F30" s="15" t="s">
        <v>34</v>
      </c>
      <c r="G30" s="15" t="s">
        <v>35</v>
      </c>
      <c r="H30" s="15" t="s">
        <v>36</v>
      </c>
      <c r="I30" s="15" t="s">
        <v>85</v>
      </c>
      <c r="J30" s="15" t="s">
        <v>37</v>
      </c>
      <c r="K30" s="15" t="s">
        <v>38</v>
      </c>
      <c r="L30" s="15" t="s">
        <v>39</v>
      </c>
      <c r="M30" s="15" t="s">
        <v>40</v>
      </c>
      <c r="N30" s="9">
        <v>2.1890000000000001</v>
      </c>
      <c r="O30" s="9">
        <v>3.8999999999999998E-3</v>
      </c>
      <c r="P30" s="9">
        <v>28.900600000000001</v>
      </c>
      <c r="Q30" s="9">
        <v>12.6759</v>
      </c>
      <c r="R30" s="9">
        <v>26.162099999999999</v>
      </c>
      <c r="S30" s="9">
        <v>26.1416</v>
      </c>
      <c r="T30" s="9">
        <v>57.47</v>
      </c>
      <c r="U30" s="9">
        <v>11.76</v>
      </c>
      <c r="V30" s="9">
        <v>96.788200000000003</v>
      </c>
      <c r="W30" s="9">
        <v>7.3769999999999998</v>
      </c>
      <c r="X30" s="9">
        <v>1.849</v>
      </c>
      <c r="Y30" s="10" t="s">
        <v>129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s="11" customFormat="1" x14ac:dyDescent="0.25">
      <c r="A31" s="19" t="s">
        <v>68</v>
      </c>
      <c r="B31" s="19" t="s">
        <v>52</v>
      </c>
      <c r="C31" s="6" t="s">
        <v>41</v>
      </c>
      <c r="D31" s="7" t="s">
        <v>33</v>
      </c>
      <c r="E31" s="16" t="s">
        <v>80</v>
      </c>
      <c r="F31" s="6" t="s">
        <v>34</v>
      </c>
      <c r="G31" s="6" t="s">
        <v>35</v>
      </c>
      <c r="H31" s="6" t="s">
        <v>36</v>
      </c>
      <c r="I31" s="6" t="s">
        <v>86</v>
      </c>
      <c r="J31" s="6" t="s">
        <v>37</v>
      </c>
      <c r="K31" s="6" t="s">
        <v>38</v>
      </c>
      <c r="L31" s="6" t="s">
        <v>39</v>
      </c>
      <c r="M31" s="6" t="s">
        <v>40</v>
      </c>
      <c r="N31" s="7">
        <v>2.6951000000000001</v>
      </c>
      <c r="O31" s="7">
        <v>2.5000000000000001E-3</v>
      </c>
      <c r="P31" s="7">
        <v>26.013300000000001</v>
      </c>
      <c r="Q31" s="7">
        <v>10.221399999999999</v>
      </c>
      <c r="R31" s="7">
        <v>23.482500000000002</v>
      </c>
      <c r="S31" s="7">
        <v>23.556899999999999</v>
      </c>
      <c r="T31" s="7">
        <v>57.89</v>
      </c>
      <c r="U31" s="7">
        <v>11.55</v>
      </c>
      <c r="V31" s="7">
        <v>61.314500000000002</v>
      </c>
      <c r="W31" s="7">
        <v>11.074</v>
      </c>
      <c r="X31" s="7">
        <v>2.7730000000000001</v>
      </c>
      <c r="Y31" s="8" t="s">
        <v>126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s="12" customFormat="1" x14ac:dyDescent="0.25">
      <c r="A32" s="20"/>
      <c r="B32" s="20"/>
      <c r="C32" s="9" t="s">
        <v>27</v>
      </c>
      <c r="D32" s="9" t="s">
        <v>47</v>
      </c>
      <c r="E32" s="18" t="s">
        <v>80</v>
      </c>
      <c r="F32" s="15" t="s">
        <v>34</v>
      </c>
      <c r="G32" s="15" t="s">
        <v>35</v>
      </c>
      <c r="H32" s="15" t="s">
        <v>36</v>
      </c>
      <c r="I32" s="15" t="s">
        <v>86</v>
      </c>
      <c r="J32" s="15" t="s">
        <v>37</v>
      </c>
      <c r="K32" s="15" t="s">
        <v>38</v>
      </c>
      <c r="L32" s="15" t="s">
        <v>39</v>
      </c>
      <c r="M32" s="15" t="s">
        <v>40</v>
      </c>
      <c r="N32" s="9">
        <v>2.1890999999999998</v>
      </c>
      <c r="O32" s="9">
        <v>2.7000000000000001E-3</v>
      </c>
      <c r="P32" s="9">
        <v>28.9054</v>
      </c>
      <c r="Q32" s="9">
        <v>12.7006</v>
      </c>
      <c r="R32" s="9">
        <v>26.163900000000002</v>
      </c>
      <c r="S32" s="9">
        <v>26.144100000000002</v>
      </c>
      <c r="T32" s="9">
        <v>57.5</v>
      </c>
      <c r="U32" s="12">
        <v>11.76</v>
      </c>
      <c r="V32" s="9">
        <v>96.833500000000001</v>
      </c>
      <c r="W32" s="9">
        <v>7.3730000000000002</v>
      </c>
      <c r="X32" s="9">
        <v>1.849</v>
      </c>
      <c r="Y32" s="10" t="s">
        <v>130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1:63" x14ac:dyDescent="0.25">
      <c r="A33" s="19" t="s">
        <v>68</v>
      </c>
      <c r="B33" s="19" t="s">
        <v>53</v>
      </c>
      <c r="C33" s="6" t="s">
        <v>41</v>
      </c>
      <c r="D33" s="7" t="s">
        <v>33</v>
      </c>
      <c r="E33" s="16" t="s">
        <v>80</v>
      </c>
      <c r="F33" s="6" t="s">
        <v>34</v>
      </c>
      <c r="G33" s="6" t="s">
        <v>35</v>
      </c>
      <c r="H33" s="6" t="s">
        <v>36</v>
      </c>
      <c r="I33" s="6" t="s">
        <v>87</v>
      </c>
      <c r="J33" s="6" t="s">
        <v>37</v>
      </c>
      <c r="K33" s="6" t="s">
        <v>38</v>
      </c>
      <c r="L33" s="6" t="s">
        <v>39</v>
      </c>
      <c r="M33" s="6" t="s">
        <v>40</v>
      </c>
      <c r="N33" s="7">
        <v>2.6947000000000001</v>
      </c>
      <c r="O33" s="7">
        <v>2.5999999999999999E-3</v>
      </c>
      <c r="P33" s="13">
        <v>26.049199999999999</v>
      </c>
      <c r="Q33" s="7">
        <v>10.264799999999999</v>
      </c>
      <c r="R33" s="7">
        <v>23.5167</v>
      </c>
      <c r="S33" s="7">
        <v>23.592500000000001</v>
      </c>
      <c r="T33" s="7">
        <v>57.89</v>
      </c>
      <c r="U33" s="7">
        <v>11.54</v>
      </c>
      <c r="V33" s="7">
        <v>60.5398</v>
      </c>
      <c r="W33" s="7">
        <v>11.215999999999999</v>
      </c>
      <c r="X33" s="7">
        <v>2.8079999999999998</v>
      </c>
      <c r="Y33" s="8" t="s">
        <v>126</v>
      </c>
    </row>
    <row r="34" spans="1:63" s="14" customFormat="1" ht="30" x14ac:dyDescent="0.25">
      <c r="A34" s="20"/>
      <c r="B34" s="20"/>
      <c r="C34" s="9" t="s">
        <v>27</v>
      </c>
      <c r="D34" s="9" t="s">
        <v>47</v>
      </c>
      <c r="E34" s="18" t="s">
        <v>80</v>
      </c>
      <c r="F34" s="15" t="s">
        <v>34</v>
      </c>
      <c r="G34" s="15" t="s">
        <v>35</v>
      </c>
      <c r="H34" s="15" t="s">
        <v>36</v>
      </c>
      <c r="I34" s="15" t="s">
        <v>87</v>
      </c>
      <c r="J34" s="15" t="s">
        <v>37</v>
      </c>
      <c r="K34" s="15" t="s">
        <v>38</v>
      </c>
      <c r="L34" s="15" t="s">
        <v>39</v>
      </c>
      <c r="M34" s="15" t="s">
        <v>40</v>
      </c>
      <c r="N34" s="9">
        <v>2.1890999999999998</v>
      </c>
      <c r="O34" s="9">
        <v>4.1000000000000003E-3</v>
      </c>
      <c r="P34" s="12">
        <v>28.9054</v>
      </c>
      <c r="Q34" s="9">
        <v>12.7006</v>
      </c>
      <c r="R34" s="9">
        <v>26.163900000000002</v>
      </c>
      <c r="S34" s="9">
        <v>26.144100000000002</v>
      </c>
      <c r="T34" s="9">
        <v>57.5</v>
      </c>
      <c r="U34" s="9">
        <v>11.76</v>
      </c>
      <c r="V34" s="9">
        <v>96.906099999999995</v>
      </c>
      <c r="W34" s="9">
        <v>7.3680000000000003</v>
      </c>
      <c r="X34" s="9">
        <v>1.847</v>
      </c>
      <c r="Y34" s="10" t="s">
        <v>131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63" x14ac:dyDescent="0.25">
      <c r="A35" s="19" t="s">
        <v>68</v>
      </c>
      <c r="B35" s="19" t="s">
        <v>54</v>
      </c>
      <c r="C35" s="6" t="s">
        <v>41</v>
      </c>
      <c r="D35" s="7" t="s">
        <v>33</v>
      </c>
      <c r="E35" s="16" t="s">
        <v>80</v>
      </c>
      <c r="F35" s="6" t="s">
        <v>34</v>
      </c>
      <c r="G35" s="6" t="s">
        <v>35</v>
      </c>
      <c r="H35" s="6" t="s">
        <v>36</v>
      </c>
      <c r="I35" s="6" t="s">
        <v>88</v>
      </c>
      <c r="J35" s="6" t="s">
        <v>37</v>
      </c>
      <c r="K35" s="6" t="s">
        <v>38</v>
      </c>
      <c r="L35" s="6" t="s">
        <v>39</v>
      </c>
      <c r="M35" s="6" t="s">
        <v>40</v>
      </c>
      <c r="N35" s="7">
        <v>2.6943999999999999</v>
      </c>
      <c r="O35" s="7">
        <v>2.5000000000000001E-3</v>
      </c>
      <c r="P35" s="7">
        <v>26.0047</v>
      </c>
      <c r="Q35" s="7">
        <v>10.221399999999999</v>
      </c>
      <c r="R35" s="7">
        <v>23.468</v>
      </c>
      <c r="S35" s="7">
        <v>23.546399999999998</v>
      </c>
      <c r="T35" s="7">
        <v>57.9</v>
      </c>
      <c r="U35" s="7">
        <v>11.55</v>
      </c>
      <c r="V35" s="7">
        <v>61.0687</v>
      </c>
      <c r="W35" s="7">
        <v>11.119</v>
      </c>
      <c r="X35" s="7">
        <v>2.7839999999999998</v>
      </c>
      <c r="Y35" s="8" t="s">
        <v>126</v>
      </c>
    </row>
    <row r="36" spans="1:63" x14ac:dyDescent="0.25">
      <c r="A36" s="20"/>
      <c r="B36" s="20"/>
      <c r="C36" s="9" t="s">
        <v>27</v>
      </c>
      <c r="D36" s="9" t="s">
        <v>47</v>
      </c>
      <c r="E36" s="18" t="s">
        <v>80</v>
      </c>
      <c r="F36" s="15" t="s">
        <v>34</v>
      </c>
      <c r="G36" s="15" t="s">
        <v>35</v>
      </c>
      <c r="H36" s="15" t="s">
        <v>36</v>
      </c>
      <c r="I36" s="15" t="s">
        <v>88</v>
      </c>
      <c r="J36" s="15" t="s">
        <v>37</v>
      </c>
      <c r="K36" s="15" t="s">
        <v>38</v>
      </c>
      <c r="L36" s="6" t="s">
        <v>39</v>
      </c>
      <c r="M36" s="6" t="s">
        <v>40</v>
      </c>
      <c r="N36" s="9">
        <v>2.1890999999999998</v>
      </c>
      <c r="O36" s="9">
        <v>3.0000000000000001E-3</v>
      </c>
      <c r="P36" s="9">
        <v>28.9054</v>
      </c>
      <c r="Q36" s="9">
        <v>12.7006</v>
      </c>
      <c r="R36" s="9">
        <v>26.163900000000002</v>
      </c>
      <c r="S36" s="9">
        <v>26.144100000000002</v>
      </c>
      <c r="T36" s="9">
        <v>57.5</v>
      </c>
      <c r="U36" s="9">
        <v>11.76</v>
      </c>
      <c r="V36" s="9">
        <v>96.421300000000002</v>
      </c>
      <c r="W36" s="9">
        <v>7.4050000000000002</v>
      </c>
      <c r="X36" s="9">
        <v>1.8560000000000001</v>
      </c>
      <c r="Y36" s="10" t="s">
        <v>132</v>
      </c>
    </row>
    <row r="37" spans="1:63" x14ac:dyDescent="0.25">
      <c r="A37" s="19" t="s">
        <v>68</v>
      </c>
      <c r="B37" s="19" t="s">
        <v>55</v>
      </c>
      <c r="C37" s="6" t="s">
        <v>41</v>
      </c>
      <c r="D37" s="7" t="s">
        <v>33</v>
      </c>
      <c r="E37" s="16" t="s">
        <v>80</v>
      </c>
      <c r="F37" s="6" t="s">
        <v>34</v>
      </c>
      <c r="G37" s="6" t="s">
        <v>35</v>
      </c>
      <c r="H37" s="6" t="s">
        <v>36</v>
      </c>
      <c r="I37" s="6" t="s">
        <v>91</v>
      </c>
      <c r="J37" s="6" t="s">
        <v>37</v>
      </c>
      <c r="K37" s="6" t="s">
        <v>38</v>
      </c>
      <c r="L37" s="6" t="s">
        <v>39</v>
      </c>
      <c r="M37" s="6" t="s">
        <v>40</v>
      </c>
      <c r="N37" s="7">
        <v>2.6937000000000002</v>
      </c>
      <c r="O37" s="7">
        <v>2.3999999999999998E-3</v>
      </c>
      <c r="P37" s="7">
        <v>26.0563</v>
      </c>
      <c r="Q37" s="7">
        <v>10.264799999999999</v>
      </c>
      <c r="R37" s="7">
        <v>23.523299999999999</v>
      </c>
      <c r="S37" s="7">
        <v>23.603000000000002</v>
      </c>
      <c r="T37" s="7">
        <v>57.88</v>
      </c>
      <c r="U37" s="7">
        <v>11.55</v>
      </c>
      <c r="V37" s="7">
        <v>60.061300000000003</v>
      </c>
      <c r="W37" s="7">
        <v>11.305</v>
      </c>
      <c r="X37" s="7">
        <v>2.83</v>
      </c>
      <c r="Y37" s="8" t="s">
        <v>126</v>
      </c>
    </row>
    <row r="38" spans="1:63" x14ac:dyDescent="0.25">
      <c r="A38" s="20"/>
      <c r="B38" s="20"/>
      <c r="C38" s="9" t="s">
        <v>27</v>
      </c>
      <c r="D38" s="9" t="s">
        <v>47</v>
      </c>
      <c r="E38" s="18" t="s">
        <v>80</v>
      </c>
      <c r="F38" s="15" t="s">
        <v>34</v>
      </c>
      <c r="G38" s="15" t="s">
        <v>35</v>
      </c>
      <c r="H38" s="15" t="s">
        <v>36</v>
      </c>
      <c r="I38" s="15" t="s">
        <v>91</v>
      </c>
      <c r="J38" s="15" t="s">
        <v>37</v>
      </c>
      <c r="K38" s="15" t="s">
        <v>38</v>
      </c>
      <c r="L38" s="15" t="s">
        <v>39</v>
      </c>
      <c r="M38" s="15" t="s">
        <v>40</v>
      </c>
      <c r="N38" s="9">
        <v>2.1890999999999998</v>
      </c>
      <c r="O38" s="9">
        <v>4.3E-3</v>
      </c>
      <c r="P38" s="9">
        <v>28.9054</v>
      </c>
      <c r="Q38" s="9">
        <v>12.7006</v>
      </c>
      <c r="R38" s="9">
        <v>26.163900000000002</v>
      </c>
      <c r="S38" s="9">
        <v>26.144100000000002</v>
      </c>
      <c r="T38" s="9">
        <v>57.5</v>
      </c>
      <c r="U38" s="9">
        <v>11.76</v>
      </c>
      <c r="V38" s="9">
        <v>90.87</v>
      </c>
      <c r="W38" s="9">
        <v>7.8570000000000002</v>
      </c>
      <c r="X38" s="9">
        <v>1.97</v>
      </c>
      <c r="Y38" s="10" t="s">
        <v>133</v>
      </c>
    </row>
    <row r="39" spans="1:63" x14ac:dyDescent="0.25">
      <c r="A39" s="19" t="s">
        <v>68</v>
      </c>
      <c r="B39" s="19" t="s">
        <v>56</v>
      </c>
      <c r="C39" s="6" t="s">
        <v>41</v>
      </c>
      <c r="D39" s="7" t="s">
        <v>33</v>
      </c>
      <c r="E39" s="16" t="s">
        <v>80</v>
      </c>
      <c r="F39" s="6" t="s">
        <v>34</v>
      </c>
      <c r="G39" s="6" t="s">
        <v>35</v>
      </c>
      <c r="H39" s="6" t="s">
        <v>36</v>
      </c>
      <c r="I39" s="6" t="s">
        <v>89</v>
      </c>
      <c r="J39" s="6" t="s">
        <v>37</v>
      </c>
      <c r="K39" s="6" t="s">
        <v>38</v>
      </c>
      <c r="L39" s="6" t="s">
        <v>39</v>
      </c>
      <c r="M39" s="6" t="s">
        <v>40</v>
      </c>
      <c r="N39" s="7">
        <v>2.6934</v>
      </c>
      <c r="O39" s="7">
        <v>2.5000000000000001E-3</v>
      </c>
      <c r="P39" s="7">
        <v>26.049199999999999</v>
      </c>
      <c r="Q39" s="7">
        <v>10.264799999999999</v>
      </c>
      <c r="R39" s="7">
        <v>23.5167</v>
      </c>
      <c r="S39" s="7">
        <v>23.592500000000001</v>
      </c>
      <c r="T39" s="7">
        <v>57.89</v>
      </c>
      <c r="U39" s="7">
        <v>11.54</v>
      </c>
      <c r="V39" s="7">
        <v>60.790500000000002</v>
      </c>
      <c r="W39" s="7">
        <v>11.17</v>
      </c>
      <c r="X39" s="7">
        <v>2.7959999999999998</v>
      </c>
      <c r="Y39" s="8" t="s">
        <v>126</v>
      </c>
    </row>
    <row r="40" spans="1:63" x14ac:dyDescent="0.25">
      <c r="A40" s="20"/>
      <c r="B40" s="20"/>
      <c r="C40" s="9" t="s">
        <v>27</v>
      </c>
      <c r="D40" s="9" t="s">
        <v>47</v>
      </c>
      <c r="E40" s="18" t="s">
        <v>80</v>
      </c>
      <c r="F40" s="15" t="s">
        <v>34</v>
      </c>
      <c r="G40" s="15" t="s">
        <v>35</v>
      </c>
      <c r="H40" s="15" t="s">
        <v>36</v>
      </c>
      <c r="I40" s="15" t="s">
        <v>89</v>
      </c>
      <c r="J40" s="15" t="s">
        <v>37</v>
      </c>
      <c r="K40" s="15" t="s">
        <v>38</v>
      </c>
      <c r="L40" s="15" t="s">
        <v>39</v>
      </c>
      <c r="M40" s="15" t="s">
        <v>40</v>
      </c>
      <c r="N40" s="9">
        <v>2.1890999999999998</v>
      </c>
      <c r="O40" s="9">
        <v>5.3E-3</v>
      </c>
      <c r="P40" s="9">
        <v>28.9054</v>
      </c>
      <c r="Q40" s="9">
        <v>12.7006</v>
      </c>
      <c r="R40" s="9">
        <v>26.163900000000002</v>
      </c>
      <c r="S40" s="9">
        <v>26.144100000000002</v>
      </c>
      <c r="T40" s="9">
        <v>57.5</v>
      </c>
      <c r="U40" s="9">
        <v>11.76</v>
      </c>
      <c r="V40" s="9">
        <v>90.87</v>
      </c>
      <c r="W40" s="9">
        <v>7.8570000000000002</v>
      </c>
      <c r="X40" s="9">
        <v>1.97</v>
      </c>
      <c r="Y40" s="10" t="s">
        <v>134</v>
      </c>
    </row>
    <row r="41" spans="1:63" x14ac:dyDescent="0.25">
      <c r="A41" s="19" t="s">
        <v>68</v>
      </c>
      <c r="B41" s="19" t="s">
        <v>57</v>
      </c>
      <c r="C41" s="6" t="s">
        <v>41</v>
      </c>
      <c r="D41" s="7" t="s">
        <v>33</v>
      </c>
      <c r="E41" s="16" t="s">
        <v>80</v>
      </c>
      <c r="F41" s="6" t="s">
        <v>34</v>
      </c>
      <c r="G41" s="6" t="s">
        <v>35</v>
      </c>
      <c r="H41" s="6" t="s">
        <v>36</v>
      </c>
      <c r="I41" s="6" t="s">
        <v>90</v>
      </c>
      <c r="J41" s="6" t="s">
        <v>37</v>
      </c>
      <c r="K41" s="6" t="s">
        <v>38</v>
      </c>
      <c r="L41" s="6" t="s">
        <v>39</v>
      </c>
      <c r="M41" s="6" t="s">
        <v>40</v>
      </c>
      <c r="N41" s="7">
        <v>2.6934</v>
      </c>
      <c r="O41" s="7">
        <v>2.5000000000000001E-3</v>
      </c>
      <c r="P41" s="7">
        <v>26.049199999999999</v>
      </c>
      <c r="Q41" s="7">
        <v>10.264799999999999</v>
      </c>
      <c r="R41" s="7">
        <v>23.5167</v>
      </c>
      <c r="S41" s="7">
        <v>23.592500000000001</v>
      </c>
      <c r="T41" s="7">
        <v>57.89</v>
      </c>
      <c r="U41" s="7">
        <v>11.67</v>
      </c>
      <c r="V41" s="7">
        <v>60.801000000000002</v>
      </c>
      <c r="W41" s="9">
        <v>11.2</v>
      </c>
      <c r="X41" s="7">
        <v>2.8010000000000002</v>
      </c>
      <c r="Y41" s="8" t="s">
        <v>136</v>
      </c>
    </row>
    <row r="42" spans="1:63" ht="30" x14ac:dyDescent="0.25">
      <c r="A42" s="20"/>
      <c r="B42" s="20"/>
      <c r="C42" s="9" t="s">
        <v>27</v>
      </c>
      <c r="D42" s="9" t="s">
        <v>47</v>
      </c>
      <c r="E42" s="18" t="s">
        <v>80</v>
      </c>
      <c r="F42" s="15" t="s">
        <v>34</v>
      </c>
      <c r="G42" s="15" t="s">
        <v>35</v>
      </c>
      <c r="H42" s="15" t="s">
        <v>36</v>
      </c>
      <c r="I42" s="15" t="s">
        <v>90</v>
      </c>
      <c r="J42" s="15" t="s">
        <v>37</v>
      </c>
      <c r="K42" s="15" t="s">
        <v>38</v>
      </c>
      <c r="L42" s="15" t="s">
        <v>39</v>
      </c>
      <c r="M42" s="15" t="s">
        <v>40</v>
      </c>
      <c r="N42" s="9">
        <v>2.1890999999999998</v>
      </c>
      <c r="O42" s="9">
        <v>6.1999999999999998E-3</v>
      </c>
      <c r="P42" s="9">
        <v>28.9054</v>
      </c>
      <c r="Q42" s="9">
        <v>12.7006</v>
      </c>
      <c r="R42" s="9">
        <v>26.163900000000002</v>
      </c>
      <c r="S42" s="9">
        <v>26.144100000000002</v>
      </c>
      <c r="T42" s="9">
        <v>57.5</v>
      </c>
      <c r="U42" s="9">
        <v>11.76</v>
      </c>
      <c r="V42" s="9">
        <v>90.87</v>
      </c>
      <c r="W42" s="9">
        <v>7.8570000000000002</v>
      </c>
      <c r="X42" s="9">
        <v>1.97</v>
      </c>
      <c r="Y42" s="10" t="s">
        <v>135</v>
      </c>
    </row>
    <row r="43" spans="1:63" ht="30" x14ac:dyDescent="0.25">
      <c r="A43" s="19" t="s">
        <v>68</v>
      </c>
      <c r="B43" s="19" t="s">
        <v>58</v>
      </c>
      <c r="C43" s="6" t="s">
        <v>41</v>
      </c>
      <c r="D43" s="7" t="s">
        <v>33</v>
      </c>
      <c r="E43" s="16" t="s">
        <v>80</v>
      </c>
      <c r="F43" s="6" t="s">
        <v>34</v>
      </c>
      <c r="G43" s="6" t="s">
        <v>35</v>
      </c>
      <c r="H43" s="6" t="s">
        <v>36</v>
      </c>
      <c r="I43" s="6" t="s">
        <v>92</v>
      </c>
      <c r="J43" s="6" t="s">
        <v>93</v>
      </c>
      <c r="K43" s="6" t="s">
        <v>38</v>
      </c>
      <c r="L43" s="6" t="s">
        <v>39</v>
      </c>
      <c r="M43" s="6" t="s">
        <v>40</v>
      </c>
      <c r="N43" s="7">
        <v>2.6547000000000001</v>
      </c>
      <c r="O43" s="7">
        <v>2.5000000000000001E-3</v>
      </c>
      <c r="P43" s="7">
        <v>26.244299999999999</v>
      </c>
      <c r="Q43" s="7">
        <v>10.285600000000001</v>
      </c>
      <c r="R43" s="7">
        <v>23.7178</v>
      </c>
      <c r="S43" s="7">
        <v>23.738299999999999</v>
      </c>
      <c r="T43" s="7">
        <v>58.03</v>
      </c>
      <c r="U43" s="7">
        <v>11.55</v>
      </c>
      <c r="V43" s="7">
        <v>96.852999999999994</v>
      </c>
      <c r="W43" s="7">
        <v>7.1449999999999996</v>
      </c>
      <c r="X43" s="7">
        <v>1.786</v>
      </c>
      <c r="Y43" s="8" t="s">
        <v>137</v>
      </c>
    </row>
    <row r="44" spans="1:63" x14ac:dyDescent="0.25">
      <c r="A44" s="20"/>
      <c r="B44" s="20"/>
      <c r="C44" s="9" t="s">
        <v>27</v>
      </c>
      <c r="D44" s="9" t="s">
        <v>47</v>
      </c>
      <c r="E44" s="18" t="s">
        <v>80</v>
      </c>
      <c r="F44" s="15" t="s">
        <v>34</v>
      </c>
      <c r="G44" s="15" t="s">
        <v>35</v>
      </c>
      <c r="H44" s="15" t="s">
        <v>36</v>
      </c>
      <c r="I44" s="15" t="s">
        <v>92</v>
      </c>
      <c r="J44" s="15" t="s">
        <v>93</v>
      </c>
      <c r="K44" s="15" t="s">
        <v>38</v>
      </c>
      <c r="L44" s="15" t="s">
        <v>39</v>
      </c>
      <c r="M44" s="15" t="s">
        <v>40</v>
      </c>
      <c r="N44" s="9">
        <v>2.1236000000000002</v>
      </c>
      <c r="O44" s="9">
        <v>3.0000000000000001E-3</v>
      </c>
      <c r="P44" s="9">
        <v>31.337299999999999</v>
      </c>
      <c r="Q44" s="9">
        <v>14.364100000000001</v>
      </c>
      <c r="R44" s="9">
        <v>28.400700000000001</v>
      </c>
      <c r="S44" s="9">
        <v>28.401199999999999</v>
      </c>
      <c r="T44" s="9">
        <v>55.99</v>
      </c>
      <c r="U44" s="9">
        <v>11.1</v>
      </c>
      <c r="V44" s="9">
        <v>96.167400000000001</v>
      </c>
      <c r="W44" s="9">
        <v>7.4249999999999998</v>
      </c>
      <c r="X44" s="9">
        <v>1.861</v>
      </c>
      <c r="Y44" s="10" t="s">
        <v>138</v>
      </c>
    </row>
    <row r="45" spans="1:63" x14ac:dyDescent="0.25">
      <c r="A45" s="19" t="s">
        <v>68</v>
      </c>
      <c r="B45" s="19" t="s">
        <v>59</v>
      </c>
      <c r="C45" s="6" t="s">
        <v>41</v>
      </c>
      <c r="D45" s="7" t="s">
        <v>33</v>
      </c>
      <c r="E45" s="16" t="s">
        <v>80</v>
      </c>
      <c r="F45" s="6" t="s">
        <v>34</v>
      </c>
      <c r="G45" s="6" t="s">
        <v>35</v>
      </c>
      <c r="H45" s="6" t="s">
        <v>36</v>
      </c>
      <c r="I45" s="6" t="s">
        <v>92</v>
      </c>
      <c r="J45" s="6" t="s">
        <v>94</v>
      </c>
      <c r="K45" s="6" t="s">
        <v>38</v>
      </c>
      <c r="L45" s="6" t="s">
        <v>39</v>
      </c>
      <c r="M45" s="6" t="s">
        <v>40</v>
      </c>
      <c r="N45" s="7">
        <v>2.6547000000000001</v>
      </c>
      <c r="O45" s="7">
        <v>2.5999999999999999E-3</v>
      </c>
      <c r="P45" s="7">
        <v>26.232500000000002</v>
      </c>
      <c r="Q45" s="7">
        <v>10.284800000000001</v>
      </c>
      <c r="R45" s="7">
        <v>23.7013</v>
      </c>
      <c r="S45" s="7">
        <v>23.721800000000002</v>
      </c>
      <c r="T45" s="7">
        <v>57.99</v>
      </c>
      <c r="U45" s="7">
        <v>11.55</v>
      </c>
      <c r="V45" s="7">
        <v>64.527199999999993</v>
      </c>
      <c r="W45" s="7">
        <v>10.724</v>
      </c>
      <c r="X45" s="7">
        <v>2.681</v>
      </c>
      <c r="Y45" s="8" t="s">
        <v>139</v>
      </c>
    </row>
    <row r="46" spans="1:63" x14ac:dyDescent="0.25">
      <c r="A46" s="20"/>
      <c r="B46" s="20"/>
      <c r="C46" s="9" t="s">
        <v>27</v>
      </c>
      <c r="D46" s="9" t="s">
        <v>47</v>
      </c>
      <c r="E46" s="18" t="s">
        <v>80</v>
      </c>
      <c r="F46" s="15" t="s">
        <v>34</v>
      </c>
      <c r="G46" s="15" t="s">
        <v>35</v>
      </c>
      <c r="H46" s="15" t="s">
        <v>36</v>
      </c>
      <c r="I46" s="15" t="s">
        <v>92</v>
      </c>
      <c r="J46" s="15" t="s">
        <v>94</v>
      </c>
      <c r="K46" s="15" t="s">
        <v>38</v>
      </c>
      <c r="L46" s="15" t="s">
        <v>39</v>
      </c>
      <c r="M46" s="15" t="s">
        <v>40</v>
      </c>
      <c r="N46" s="9">
        <v>2.1190000000000002</v>
      </c>
      <c r="O46" s="9">
        <v>4.8999999999999998E-3</v>
      </c>
      <c r="P46" s="9">
        <v>31.4299</v>
      </c>
      <c r="Q46" s="9">
        <v>14.4124</v>
      </c>
      <c r="R46" s="9">
        <v>28.576599999999999</v>
      </c>
      <c r="S46" s="9">
        <v>28.582699999999999</v>
      </c>
      <c r="T46" s="9">
        <v>55.91</v>
      </c>
      <c r="U46" s="9">
        <v>11.03</v>
      </c>
      <c r="V46" s="9">
        <v>90.875699999999995</v>
      </c>
      <c r="W46" s="9">
        <v>7.8570000000000002</v>
      </c>
      <c r="X46" s="9">
        <v>1.8029999999999999</v>
      </c>
      <c r="Y46" s="10" t="s">
        <v>140</v>
      </c>
    </row>
    <row r="47" spans="1:63" x14ac:dyDescent="0.25">
      <c r="A47" s="19" t="s">
        <v>68</v>
      </c>
      <c r="B47" s="19" t="s">
        <v>60</v>
      </c>
      <c r="C47" s="6" t="s">
        <v>41</v>
      </c>
      <c r="D47" s="7" t="s">
        <v>33</v>
      </c>
      <c r="E47" s="16" t="s">
        <v>80</v>
      </c>
      <c r="F47" s="6" t="s">
        <v>34</v>
      </c>
      <c r="G47" s="6" t="s">
        <v>35</v>
      </c>
      <c r="H47" s="6" t="s">
        <v>36</v>
      </c>
      <c r="I47" s="6" t="s">
        <v>92</v>
      </c>
      <c r="J47" s="6" t="s">
        <v>95</v>
      </c>
      <c r="K47" s="6" t="s">
        <v>38</v>
      </c>
      <c r="L47" s="6" t="s">
        <v>39</v>
      </c>
      <c r="M47" s="6" t="s">
        <v>40</v>
      </c>
      <c r="N47" s="7">
        <v>2.6545000000000001</v>
      </c>
      <c r="O47" s="7">
        <v>2.5000000000000001E-3</v>
      </c>
      <c r="P47" s="7">
        <v>26.304300000000001</v>
      </c>
      <c r="Q47" s="7">
        <v>10.3308</v>
      </c>
      <c r="R47" s="7">
        <v>23.7362</v>
      </c>
      <c r="S47" s="7">
        <v>23.755600000000001</v>
      </c>
      <c r="T47" s="7">
        <v>58.03</v>
      </c>
      <c r="U47" s="7">
        <v>11.54</v>
      </c>
      <c r="V47" s="7">
        <v>63.814999999999998</v>
      </c>
      <c r="W47" s="7">
        <v>10.843999999999999</v>
      </c>
      <c r="X47" s="7">
        <v>2.7109999999999999</v>
      </c>
      <c r="Y47" s="8" t="s">
        <v>141</v>
      </c>
    </row>
    <row r="48" spans="1:63" x14ac:dyDescent="0.25">
      <c r="A48" s="20"/>
      <c r="B48" s="20"/>
      <c r="C48" s="9" t="s">
        <v>27</v>
      </c>
      <c r="D48" s="9" t="s">
        <v>47</v>
      </c>
      <c r="E48" s="18" t="s">
        <v>80</v>
      </c>
      <c r="F48" s="15" t="s">
        <v>34</v>
      </c>
      <c r="G48" s="15" t="s">
        <v>35</v>
      </c>
      <c r="H48" s="15" t="s">
        <v>36</v>
      </c>
      <c r="I48" s="15" t="s">
        <v>92</v>
      </c>
      <c r="J48" s="15" t="s">
        <v>95</v>
      </c>
      <c r="K48" s="15" t="s">
        <v>38</v>
      </c>
      <c r="L48" s="15" t="s">
        <v>39</v>
      </c>
      <c r="M48" s="15" t="s">
        <v>40</v>
      </c>
      <c r="N48" s="9">
        <v>2.1133000000000002</v>
      </c>
      <c r="O48" s="9">
        <v>3.0999999999999999E-3</v>
      </c>
      <c r="P48" s="9">
        <v>31.757000000000001</v>
      </c>
      <c r="Q48" s="9">
        <v>14.559900000000001</v>
      </c>
      <c r="R48" s="9">
        <v>28.7682</v>
      </c>
      <c r="S48" s="9">
        <v>28.7544</v>
      </c>
      <c r="T48" s="9">
        <v>55.72</v>
      </c>
      <c r="U48" s="9">
        <v>11.01</v>
      </c>
      <c r="V48" s="9">
        <v>96.274900000000002</v>
      </c>
      <c r="W48" s="9">
        <v>7.4160000000000004</v>
      </c>
      <c r="X48" s="9">
        <v>1.859</v>
      </c>
      <c r="Y48" s="10" t="s">
        <v>142</v>
      </c>
    </row>
    <row r="49" spans="1:25" x14ac:dyDescent="0.25">
      <c r="A49" s="19" t="s">
        <v>68</v>
      </c>
      <c r="B49" s="19" t="s">
        <v>61</v>
      </c>
      <c r="C49" s="6" t="s">
        <v>41</v>
      </c>
      <c r="D49" s="7" t="s">
        <v>33</v>
      </c>
      <c r="E49" s="16" t="s">
        <v>80</v>
      </c>
      <c r="F49" s="6" t="s">
        <v>34</v>
      </c>
      <c r="G49" s="6" t="s">
        <v>35</v>
      </c>
      <c r="H49" s="6" t="s">
        <v>36</v>
      </c>
      <c r="I49" s="6" t="s">
        <v>92</v>
      </c>
      <c r="J49" s="6" t="s">
        <v>96</v>
      </c>
      <c r="K49" s="6" t="s">
        <v>38</v>
      </c>
      <c r="L49" s="6" t="s">
        <v>39</v>
      </c>
      <c r="M49" s="6" t="s">
        <v>40</v>
      </c>
      <c r="N49" s="7">
        <v>2.6543999999999999</v>
      </c>
      <c r="O49" s="7">
        <v>2.3E-3</v>
      </c>
      <c r="P49" s="7">
        <v>26.291499999999999</v>
      </c>
      <c r="Q49" s="7">
        <v>10.2956</v>
      </c>
      <c r="R49" s="7">
        <v>23.743400000000001</v>
      </c>
      <c r="S49" s="7">
        <v>23.7624</v>
      </c>
      <c r="T49" s="7">
        <v>58.02</v>
      </c>
      <c r="U49" s="7">
        <v>11.55</v>
      </c>
      <c r="V49" s="7">
        <v>63.992199999999997</v>
      </c>
      <c r="W49" s="7">
        <v>10.814</v>
      </c>
      <c r="X49" s="7">
        <v>2.7029999999999998</v>
      </c>
      <c r="Y49" s="8" t="s">
        <v>143</v>
      </c>
    </row>
    <row r="50" spans="1:25" x14ac:dyDescent="0.25">
      <c r="A50" s="20"/>
      <c r="B50" s="20"/>
      <c r="C50" s="9" t="s">
        <v>27</v>
      </c>
      <c r="D50" s="9" t="s">
        <v>47</v>
      </c>
      <c r="E50" s="18" t="s">
        <v>80</v>
      </c>
      <c r="F50" s="15" t="s">
        <v>34</v>
      </c>
      <c r="G50" s="15" t="s">
        <v>35</v>
      </c>
      <c r="H50" s="15" t="s">
        <v>36</v>
      </c>
      <c r="I50" s="15" t="s">
        <v>92</v>
      </c>
      <c r="J50" s="15" t="s">
        <v>96</v>
      </c>
      <c r="K50" s="15" t="s">
        <v>38</v>
      </c>
      <c r="L50" s="15" t="s">
        <v>39</v>
      </c>
      <c r="M50" s="15" t="s">
        <v>40</v>
      </c>
      <c r="N50" s="9">
        <v>2.1644999999999999</v>
      </c>
      <c r="O50" s="9">
        <v>3.0999999999999999E-3</v>
      </c>
      <c r="P50" s="9">
        <v>30.7501</v>
      </c>
      <c r="Q50" s="9">
        <v>13.1761</v>
      </c>
      <c r="R50" s="9">
        <v>27.6738</v>
      </c>
      <c r="S50" s="9">
        <v>27.698499999999999</v>
      </c>
      <c r="T50" s="9">
        <v>54.44</v>
      </c>
      <c r="U50" s="9">
        <v>11.1</v>
      </c>
      <c r="V50" s="9">
        <v>96.865499999999997</v>
      </c>
      <c r="W50" s="9">
        <v>7.1849999999999996</v>
      </c>
      <c r="X50" s="9">
        <v>1.796</v>
      </c>
      <c r="Y50" s="10" t="s">
        <v>144</v>
      </c>
    </row>
    <row r="51" spans="1:25" x14ac:dyDescent="0.25">
      <c r="A51" s="19" t="s">
        <v>68</v>
      </c>
      <c r="B51" s="19" t="s">
        <v>62</v>
      </c>
      <c r="C51" s="6" t="s">
        <v>41</v>
      </c>
      <c r="D51" s="7" t="s">
        <v>33</v>
      </c>
      <c r="E51" s="16" t="s">
        <v>80</v>
      </c>
      <c r="F51" s="6" t="s">
        <v>34</v>
      </c>
      <c r="G51" s="6" t="s">
        <v>35</v>
      </c>
      <c r="H51" s="6" t="s">
        <v>36</v>
      </c>
      <c r="I51" s="6" t="s">
        <v>92</v>
      </c>
      <c r="J51" s="6" t="s">
        <v>97</v>
      </c>
      <c r="K51" s="6" t="s">
        <v>38</v>
      </c>
      <c r="L51" s="6" t="s">
        <v>39</v>
      </c>
      <c r="M51" s="6" t="s">
        <v>40</v>
      </c>
      <c r="N51" s="7">
        <v>2.6598000000000002</v>
      </c>
      <c r="O51" s="7">
        <v>4.8999999999999998E-3</v>
      </c>
      <c r="P51" s="7">
        <v>26.265000000000001</v>
      </c>
      <c r="Q51" s="7">
        <v>10.2821</v>
      </c>
      <c r="R51" s="7">
        <v>23.738800000000001</v>
      </c>
      <c r="S51" s="7">
        <v>23.753599999999999</v>
      </c>
      <c r="T51" s="7">
        <v>58.08</v>
      </c>
      <c r="U51" s="7">
        <v>11.56</v>
      </c>
      <c r="V51" s="7">
        <v>63.977600000000002</v>
      </c>
      <c r="W51" s="7">
        <v>10.816000000000001</v>
      </c>
      <c r="X51" s="7">
        <v>2.7040000000000002</v>
      </c>
      <c r="Y51" s="8" t="s">
        <v>143</v>
      </c>
    </row>
    <row r="52" spans="1:25" x14ac:dyDescent="0.25">
      <c r="A52" s="20"/>
      <c r="B52" s="20"/>
      <c r="C52" s="9" t="s">
        <v>27</v>
      </c>
      <c r="D52" s="9" t="s">
        <v>47</v>
      </c>
      <c r="E52" s="18" t="s">
        <v>80</v>
      </c>
      <c r="F52" s="15" t="s">
        <v>34</v>
      </c>
      <c r="G52" s="15" t="s">
        <v>35</v>
      </c>
      <c r="H52" s="15" t="s">
        <v>36</v>
      </c>
      <c r="I52" s="15" t="s">
        <v>92</v>
      </c>
      <c r="J52" s="15" t="s">
        <v>97</v>
      </c>
      <c r="K52" s="15" t="s">
        <v>38</v>
      </c>
      <c r="L52" s="15" t="s">
        <v>39</v>
      </c>
      <c r="M52" s="15" t="s">
        <v>40</v>
      </c>
      <c r="N52" s="9">
        <v>2.1869000000000001</v>
      </c>
      <c r="O52" s="9">
        <v>2.7000000000000001E-3</v>
      </c>
      <c r="P52" s="9">
        <v>30.020700000000001</v>
      </c>
      <c r="Q52" s="9">
        <v>12.613200000000001</v>
      </c>
      <c r="R52" s="9">
        <v>27.1126</v>
      </c>
      <c r="S52" s="9">
        <v>27.124700000000001</v>
      </c>
      <c r="T52" s="9">
        <v>54.71</v>
      </c>
      <c r="U52" s="9">
        <v>11.14</v>
      </c>
      <c r="V52" s="9">
        <v>92.039000000000001</v>
      </c>
      <c r="W52" s="9">
        <v>7.5620000000000003</v>
      </c>
      <c r="X52" s="9">
        <v>1.891</v>
      </c>
      <c r="Y52" s="10" t="s">
        <v>145</v>
      </c>
    </row>
    <row r="53" spans="1:25" ht="30" x14ac:dyDescent="0.25">
      <c r="A53" s="19" t="s">
        <v>68</v>
      </c>
      <c r="B53" s="19" t="s">
        <v>63</v>
      </c>
      <c r="C53" s="6" t="s">
        <v>41</v>
      </c>
      <c r="D53" s="7" t="s">
        <v>33</v>
      </c>
      <c r="E53" s="16" t="s">
        <v>80</v>
      </c>
      <c r="F53" s="6" t="s">
        <v>34</v>
      </c>
      <c r="G53" s="6" t="s">
        <v>35</v>
      </c>
      <c r="H53" s="6" t="s">
        <v>36</v>
      </c>
      <c r="I53" s="6" t="s">
        <v>92</v>
      </c>
      <c r="J53" s="6" t="s">
        <v>37</v>
      </c>
      <c r="K53" s="6" t="s">
        <v>38</v>
      </c>
      <c r="L53" s="6" t="s">
        <v>39</v>
      </c>
      <c r="M53" s="6" t="s">
        <v>40</v>
      </c>
      <c r="N53" s="6">
        <v>2.0217000000000001</v>
      </c>
      <c r="O53" s="7">
        <v>31.067900000000002</v>
      </c>
      <c r="P53" s="7">
        <v>31.067900000000002</v>
      </c>
      <c r="Q53" s="7">
        <v>13.18</v>
      </c>
      <c r="R53" s="7">
        <v>28.363099999999999</v>
      </c>
      <c r="S53" s="7">
        <v>28.415900000000001</v>
      </c>
      <c r="T53" s="7">
        <v>56.05</v>
      </c>
      <c r="U53" s="7">
        <v>10.41</v>
      </c>
      <c r="V53" s="7">
        <v>56.439</v>
      </c>
      <c r="W53" s="7">
        <v>12.332000000000001</v>
      </c>
      <c r="X53" s="7">
        <v>3.0830000000000002</v>
      </c>
      <c r="Y53" s="8" t="s">
        <v>146</v>
      </c>
    </row>
    <row r="54" spans="1:25" x14ac:dyDescent="0.25">
      <c r="A54" s="20"/>
      <c r="B54" s="20"/>
      <c r="C54" s="9" t="s">
        <v>27</v>
      </c>
      <c r="D54" s="9" t="s">
        <v>47</v>
      </c>
      <c r="E54" s="17" t="s">
        <v>69</v>
      </c>
      <c r="F54" s="9" t="str">
        <f t="shared" ref="F54:M54" si="1">F52</f>
        <v>train_batch_size = 8</v>
      </c>
      <c r="G54" s="9" t="str">
        <f t="shared" si="1"/>
        <v>eval_batch_size = 8</v>
      </c>
      <c r="H54" s="9" t="str">
        <f t="shared" si="1"/>
        <v>num_train_epochs = 2</v>
      </c>
      <c r="I54" s="9" t="str">
        <f t="shared" si="1"/>
        <v>weight_decay = 0.00</v>
      </c>
      <c r="J54" s="9" t="s">
        <v>37</v>
      </c>
      <c r="K54" s="9" t="str">
        <f t="shared" si="1"/>
        <v>logging_steps = 50</v>
      </c>
      <c r="L54" s="9" t="str">
        <f t="shared" si="1"/>
        <v>generation_max_length = 128</v>
      </c>
      <c r="M54" s="9" t="str">
        <f t="shared" si="1"/>
        <v>gradient_accumulation_steps = 2</v>
      </c>
      <c r="N54" s="9">
        <v>1.9733000000000001</v>
      </c>
      <c r="O54" s="9">
        <v>2.7000000000000001E-3</v>
      </c>
      <c r="P54" s="12">
        <v>39.200499999999998</v>
      </c>
      <c r="Q54" s="9">
        <v>19.2043</v>
      </c>
      <c r="R54" s="9">
        <v>35.488500000000002</v>
      </c>
      <c r="S54" s="9">
        <v>35.546700000000001</v>
      </c>
      <c r="T54" s="9">
        <v>53.36</v>
      </c>
      <c r="U54" s="9">
        <v>10.18</v>
      </c>
      <c r="V54" s="9">
        <v>89.565100000000001</v>
      </c>
      <c r="W54" s="9">
        <v>7.6369999999999996</v>
      </c>
      <c r="X54" s="9">
        <v>1.909</v>
      </c>
      <c r="Y54" s="10" t="s">
        <v>147</v>
      </c>
    </row>
    <row r="55" spans="1:25" x14ac:dyDescent="0.25">
      <c r="A55" s="19" t="s">
        <v>68</v>
      </c>
      <c r="B55" s="19" t="s">
        <v>64</v>
      </c>
      <c r="C55" s="6" t="s">
        <v>41</v>
      </c>
      <c r="D55" s="7" t="s">
        <v>33</v>
      </c>
      <c r="E55" s="16" t="s">
        <v>84</v>
      </c>
      <c r="F55" s="6" t="s">
        <v>34</v>
      </c>
      <c r="G55" s="6" t="s">
        <v>35</v>
      </c>
      <c r="H55" s="6" t="s">
        <v>36</v>
      </c>
      <c r="I55" s="6" t="s">
        <v>92</v>
      </c>
      <c r="J55" s="6" t="s">
        <v>98</v>
      </c>
      <c r="K55" s="6" t="s">
        <v>38</v>
      </c>
      <c r="L55" s="6" t="s">
        <v>39</v>
      </c>
      <c r="M55" s="6" t="s">
        <v>40</v>
      </c>
      <c r="N55" s="7">
        <v>2.6764000000000001</v>
      </c>
      <c r="O55" s="7">
        <v>2.5999999999999999E-3</v>
      </c>
      <c r="P55" s="7">
        <v>26.0718</v>
      </c>
      <c r="Q55" s="7">
        <v>10.2067</v>
      </c>
      <c r="R55" s="7">
        <v>23.561900000000001</v>
      </c>
      <c r="S55" s="7">
        <v>23.581399999999999</v>
      </c>
      <c r="T55" s="7">
        <v>58.05</v>
      </c>
      <c r="U55" s="7">
        <v>11.54</v>
      </c>
      <c r="V55" s="7">
        <v>64.033500000000004</v>
      </c>
      <c r="W55" s="7">
        <v>10.807</v>
      </c>
      <c r="X55" s="7">
        <v>2.702</v>
      </c>
      <c r="Y55" s="8" t="s">
        <v>148</v>
      </c>
    </row>
    <row r="56" spans="1:25" ht="30" x14ac:dyDescent="0.25">
      <c r="A56" s="20"/>
      <c r="B56" s="20"/>
      <c r="C56" s="9" t="s">
        <v>27</v>
      </c>
      <c r="D56" s="9" t="s">
        <v>47</v>
      </c>
      <c r="E56" s="18" t="s">
        <v>80</v>
      </c>
      <c r="F56" s="15" t="s">
        <v>34</v>
      </c>
      <c r="G56" s="15" t="s">
        <v>35</v>
      </c>
      <c r="H56" s="15" t="s">
        <v>36</v>
      </c>
      <c r="I56" s="15" t="s">
        <v>92</v>
      </c>
      <c r="J56" s="15" t="s">
        <v>98</v>
      </c>
      <c r="K56" s="15" t="s">
        <v>102</v>
      </c>
      <c r="L56" s="15" t="s">
        <v>39</v>
      </c>
      <c r="M56" s="15" t="s">
        <v>40</v>
      </c>
      <c r="N56" s="9">
        <v>2.4298000000000002</v>
      </c>
      <c r="O56" s="9">
        <v>2.8E-3</v>
      </c>
      <c r="P56" s="9">
        <v>26.858499999999999</v>
      </c>
      <c r="Q56" s="9">
        <v>10.7394</v>
      </c>
      <c r="R56" s="9">
        <v>23.8659</v>
      </c>
      <c r="S56" s="9">
        <v>23.882000000000001</v>
      </c>
      <c r="T56" s="9">
        <v>56.45</v>
      </c>
      <c r="U56" s="9">
        <v>12.69</v>
      </c>
      <c r="V56" s="9">
        <v>93.281899999999993</v>
      </c>
      <c r="W56" s="9">
        <v>7.4610000000000003</v>
      </c>
      <c r="X56" s="9">
        <v>1.865</v>
      </c>
      <c r="Y56" s="10" t="s">
        <v>149</v>
      </c>
    </row>
    <row r="57" spans="1:25" x14ac:dyDescent="0.25">
      <c r="A57" s="19" t="s">
        <v>68</v>
      </c>
      <c r="B57" s="19" t="s">
        <v>65</v>
      </c>
      <c r="C57" s="6" t="s">
        <v>41</v>
      </c>
      <c r="D57" s="7" t="s">
        <v>33</v>
      </c>
      <c r="E57" s="16" t="s">
        <v>84</v>
      </c>
      <c r="F57" s="6" t="s">
        <v>34</v>
      </c>
      <c r="G57" s="6" t="s">
        <v>35</v>
      </c>
      <c r="H57" s="6" t="s">
        <v>36</v>
      </c>
      <c r="I57" s="6" t="s">
        <v>92</v>
      </c>
      <c r="J57" s="6" t="s">
        <v>99</v>
      </c>
      <c r="K57" s="6" t="s">
        <v>38</v>
      </c>
      <c r="L57" s="6" t="s">
        <v>39</v>
      </c>
      <c r="M57" s="6" t="s">
        <v>40</v>
      </c>
      <c r="N57" s="7">
        <v>2.6827999999999999</v>
      </c>
      <c r="O57" s="7">
        <v>2.5999999999999999E-3</v>
      </c>
      <c r="P57" s="7">
        <v>26.2498</v>
      </c>
      <c r="Q57" s="7">
        <v>10.2098</v>
      </c>
      <c r="R57" s="7">
        <v>23.6569</v>
      </c>
      <c r="S57" s="7">
        <v>23.679200000000002</v>
      </c>
      <c r="T57" s="7">
        <v>57.94</v>
      </c>
      <c r="U57" s="7">
        <v>11.54</v>
      </c>
      <c r="V57" s="7">
        <v>68.960300000000004</v>
      </c>
      <c r="W57" s="7">
        <v>10.035</v>
      </c>
      <c r="X57" s="7">
        <v>2.5089999999999999</v>
      </c>
      <c r="Y57" s="8" t="s">
        <v>150</v>
      </c>
    </row>
    <row r="58" spans="1:25" x14ac:dyDescent="0.25">
      <c r="A58" s="20"/>
      <c r="B58" s="20"/>
      <c r="C58" s="9" t="s">
        <v>27</v>
      </c>
      <c r="D58" s="9" t="s">
        <v>47</v>
      </c>
      <c r="E58" s="18" t="s">
        <v>80</v>
      </c>
      <c r="F58" s="15" t="s">
        <v>34</v>
      </c>
      <c r="G58" s="15" t="s">
        <v>35</v>
      </c>
      <c r="H58" s="15" t="s">
        <v>36</v>
      </c>
      <c r="I58" s="15" t="s">
        <v>92</v>
      </c>
      <c r="J58" s="15" t="s">
        <v>99</v>
      </c>
      <c r="K58" s="15" t="s">
        <v>102</v>
      </c>
      <c r="L58" s="15" t="s">
        <v>39</v>
      </c>
      <c r="M58" s="15" t="s">
        <v>40</v>
      </c>
      <c r="N58" s="9">
        <v>2.7244000000000002</v>
      </c>
      <c r="O58" s="9">
        <v>3.0999999999999999E-3</v>
      </c>
      <c r="P58" s="9">
        <v>26.125900000000001</v>
      </c>
      <c r="Q58" s="9">
        <v>10.0593</v>
      </c>
      <c r="R58" s="9">
        <v>23.040199999999999</v>
      </c>
      <c r="S58" s="9">
        <v>23.075199999999999</v>
      </c>
      <c r="T58" s="9">
        <v>57.24</v>
      </c>
      <c r="U58" s="9">
        <v>12.81</v>
      </c>
      <c r="V58" s="9">
        <v>92.986199999999997</v>
      </c>
      <c r="W58" s="9">
        <v>7.4850000000000003</v>
      </c>
      <c r="X58" s="9">
        <v>1.871</v>
      </c>
      <c r="Y58" s="10" t="s">
        <v>151</v>
      </c>
    </row>
    <row r="59" spans="1:25" x14ac:dyDescent="0.25">
      <c r="A59" s="19" t="s">
        <v>68</v>
      </c>
      <c r="B59" s="19" t="s">
        <v>66</v>
      </c>
      <c r="C59" s="6" t="s">
        <v>41</v>
      </c>
      <c r="D59" s="7" t="s">
        <v>33</v>
      </c>
      <c r="E59" s="16" t="s">
        <v>84</v>
      </c>
      <c r="F59" s="6" t="s">
        <v>34</v>
      </c>
      <c r="G59" s="6" t="s">
        <v>35</v>
      </c>
      <c r="H59" s="6" t="s">
        <v>36</v>
      </c>
      <c r="I59" s="6" t="s">
        <v>92</v>
      </c>
      <c r="J59" s="6" t="s">
        <v>100</v>
      </c>
      <c r="K59" s="6" t="s">
        <v>38</v>
      </c>
      <c r="L59" s="6" t="s">
        <v>39</v>
      </c>
      <c r="M59" s="6" t="s">
        <v>40</v>
      </c>
      <c r="N59" s="7">
        <v>2.6848999999999998</v>
      </c>
      <c r="O59" s="7">
        <v>2.7000000000000001E-3</v>
      </c>
      <c r="P59" s="7">
        <v>26.238199999999999</v>
      </c>
      <c r="Q59" s="7">
        <v>10.218299999999999</v>
      </c>
      <c r="R59" s="7">
        <v>23.661999999999999</v>
      </c>
      <c r="S59" s="7">
        <v>23.677299999999999</v>
      </c>
      <c r="T59" s="7">
        <v>57.87</v>
      </c>
      <c r="U59" s="7">
        <v>11.53</v>
      </c>
      <c r="V59" s="7">
        <v>64.1404</v>
      </c>
      <c r="W59" s="7">
        <v>10.789</v>
      </c>
      <c r="X59" s="7">
        <v>2.6970000000000001</v>
      </c>
      <c r="Y59" s="8" t="s">
        <v>152</v>
      </c>
    </row>
    <row r="60" spans="1:25" x14ac:dyDescent="0.25">
      <c r="A60" s="20"/>
      <c r="B60" s="20"/>
      <c r="C60" s="9" t="s">
        <v>27</v>
      </c>
      <c r="D60" s="9" t="s">
        <v>47</v>
      </c>
      <c r="E60" s="18" t="s">
        <v>80</v>
      </c>
      <c r="F60" s="15" t="s">
        <v>34</v>
      </c>
      <c r="G60" s="15" t="s">
        <v>35</v>
      </c>
      <c r="H60" s="15" t="s">
        <v>36</v>
      </c>
      <c r="I60" s="15" t="s">
        <v>92</v>
      </c>
      <c r="J60" s="15" t="s">
        <v>100</v>
      </c>
      <c r="K60" s="15" t="s">
        <v>102</v>
      </c>
      <c r="L60" s="15" t="s">
        <v>39</v>
      </c>
      <c r="M60" s="15" t="s">
        <v>40</v>
      </c>
      <c r="N60" s="9">
        <v>2.7324000000000002</v>
      </c>
      <c r="O60" s="9">
        <v>3.3E-3</v>
      </c>
      <c r="P60" s="9">
        <v>26.1279</v>
      </c>
      <c r="Q60" s="9">
        <v>10.0603</v>
      </c>
      <c r="R60" s="9">
        <v>23.040199999999999</v>
      </c>
      <c r="S60" s="9">
        <v>23.075199999999999</v>
      </c>
      <c r="T60" s="9">
        <v>57.34</v>
      </c>
      <c r="U60" s="9">
        <v>12.85</v>
      </c>
      <c r="V60" s="9">
        <v>92.988200000000006</v>
      </c>
      <c r="W60" s="9">
        <v>7.4950000000000001</v>
      </c>
      <c r="X60" s="9">
        <v>1.881</v>
      </c>
      <c r="Y60" s="10" t="s">
        <v>153</v>
      </c>
    </row>
    <row r="61" spans="1:25" ht="45" x14ac:dyDescent="0.25">
      <c r="A61" s="19" t="s">
        <v>68</v>
      </c>
      <c r="B61" s="19" t="s">
        <v>67</v>
      </c>
      <c r="C61" s="6" t="s">
        <v>41</v>
      </c>
      <c r="D61" s="7" t="s">
        <v>33</v>
      </c>
      <c r="E61" s="16" t="s">
        <v>84</v>
      </c>
      <c r="F61" s="6" t="s">
        <v>34</v>
      </c>
      <c r="G61" s="6" t="s">
        <v>35</v>
      </c>
      <c r="H61" s="6" t="s">
        <v>36</v>
      </c>
      <c r="I61" s="6" t="s">
        <v>92</v>
      </c>
      <c r="J61" s="6" t="s">
        <v>101</v>
      </c>
      <c r="K61" s="6" t="s">
        <v>38</v>
      </c>
      <c r="L61" s="6" t="s">
        <v>39</v>
      </c>
      <c r="M61" s="6" t="s">
        <v>40</v>
      </c>
      <c r="N61" s="7">
        <v>2.6941999999999999</v>
      </c>
      <c r="O61" s="7">
        <v>2.8999999999999998E-3</v>
      </c>
      <c r="P61" s="7">
        <v>26.2392</v>
      </c>
      <c r="Q61" s="7">
        <v>10.2193</v>
      </c>
      <c r="R61" s="7">
        <v>23.663699999999999</v>
      </c>
      <c r="S61" s="7">
        <v>23.6873</v>
      </c>
      <c r="T61" s="7">
        <v>57.87</v>
      </c>
      <c r="U61" s="7">
        <v>11.53</v>
      </c>
      <c r="V61" s="7">
        <v>64.144000000000005</v>
      </c>
      <c r="W61" s="7">
        <v>10.791</v>
      </c>
      <c r="X61" s="7">
        <v>2.6949999999999998</v>
      </c>
      <c r="Y61" s="8" t="s">
        <v>154</v>
      </c>
    </row>
    <row r="62" spans="1:25" x14ac:dyDescent="0.25">
      <c r="A62" s="20"/>
      <c r="B62" s="20"/>
      <c r="C62" s="9" t="s">
        <v>27</v>
      </c>
      <c r="D62" s="9" t="s">
        <v>47</v>
      </c>
      <c r="E62" s="18" t="s">
        <v>80</v>
      </c>
      <c r="F62" s="15" t="s">
        <v>34</v>
      </c>
      <c r="G62" s="15" t="s">
        <v>35</v>
      </c>
      <c r="H62" s="15" t="s">
        <v>36</v>
      </c>
      <c r="I62" s="15" t="s">
        <v>92</v>
      </c>
      <c r="J62" s="15" t="s">
        <v>101</v>
      </c>
      <c r="K62" s="15" t="s">
        <v>102</v>
      </c>
      <c r="L62" s="15" t="s">
        <v>39</v>
      </c>
      <c r="M62" s="15" t="s">
        <v>40</v>
      </c>
      <c r="N62" s="9">
        <v>2.7353999999999998</v>
      </c>
      <c r="O62" s="9">
        <v>3.5000000000000001E-3</v>
      </c>
      <c r="P62" s="9">
        <v>26.129899999999999</v>
      </c>
      <c r="Q62" s="9">
        <v>10.0632</v>
      </c>
      <c r="R62" s="9">
        <v>23.0501</v>
      </c>
      <c r="S62" s="9">
        <v>23.0702</v>
      </c>
      <c r="T62" s="9">
        <v>57.54</v>
      </c>
      <c r="U62" s="9">
        <v>12.89</v>
      </c>
      <c r="V62" s="9">
        <v>92.990200000000002</v>
      </c>
      <c r="W62" s="9">
        <v>7.5010000000000003</v>
      </c>
      <c r="X62" s="9">
        <v>1.8919999999999999</v>
      </c>
      <c r="Y62" s="10" t="s">
        <v>155</v>
      </c>
    </row>
  </sheetData>
  <mergeCells count="62"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B41:B42"/>
    <mergeCell ref="A39:A40"/>
    <mergeCell ref="A41:A42"/>
    <mergeCell ref="A43:A44"/>
    <mergeCell ref="B43:B44"/>
    <mergeCell ref="A35:A36"/>
    <mergeCell ref="B35:B36"/>
    <mergeCell ref="B37:B38"/>
    <mergeCell ref="A37:A38"/>
    <mergeCell ref="B39:B40"/>
    <mergeCell ref="A29:A30"/>
    <mergeCell ref="B29:B30"/>
    <mergeCell ref="A31:A32"/>
    <mergeCell ref="B31:B32"/>
    <mergeCell ref="A33:A34"/>
    <mergeCell ref="B33:B34"/>
    <mergeCell ref="B23:B24"/>
    <mergeCell ref="B25:B26"/>
    <mergeCell ref="B27:B28"/>
    <mergeCell ref="A27:A28"/>
    <mergeCell ref="A25:A26"/>
    <mergeCell ref="A23:A24"/>
    <mergeCell ref="A11:A12"/>
    <mergeCell ref="B11:B12"/>
    <mergeCell ref="A9:A10"/>
    <mergeCell ref="B3:B4"/>
    <mergeCell ref="B5:B6"/>
    <mergeCell ref="B7:B8"/>
    <mergeCell ref="B9:B10"/>
    <mergeCell ref="E1:M1"/>
    <mergeCell ref="N1:X1"/>
    <mergeCell ref="A3:A4"/>
    <mergeCell ref="A5:A6"/>
    <mergeCell ref="A7:A8"/>
    <mergeCell ref="A19:A20"/>
    <mergeCell ref="B19:B20"/>
    <mergeCell ref="A21:A22"/>
    <mergeCell ref="B21:B22"/>
    <mergeCell ref="B13:B14"/>
    <mergeCell ref="A13:A14"/>
    <mergeCell ref="B15:B16"/>
    <mergeCell ref="B17:B18"/>
    <mergeCell ref="A15:A16"/>
    <mergeCell ref="A17:A18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86AFCA-EF2B-412E-A363-6B73F9E48D86}"/>
</file>

<file path=customXml/itemProps2.xml><?xml version="1.0" encoding="utf-8"?>
<ds:datastoreItem xmlns:ds="http://schemas.openxmlformats.org/officeDocument/2006/customXml" ds:itemID="{30EA339E-627B-44EA-864A-75180FA828BB}"/>
</file>

<file path=customXml/itemProps3.xml><?xml version="1.0" encoding="utf-8"?>
<ds:datastoreItem xmlns:ds="http://schemas.openxmlformats.org/officeDocument/2006/customXml" ds:itemID="{D6AF1774-BDFD-4709-96AF-5CC930384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Cedric Arive</dc:creator>
  <cp:lastModifiedBy>Ervin Molate</cp:lastModifiedBy>
  <dcterms:created xsi:type="dcterms:W3CDTF">2025-10-31T10:46:55Z</dcterms:created>
  <dcterms:modified xsi:type="dcterms:W3CDTF">2025-11-06T10:43:40Z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